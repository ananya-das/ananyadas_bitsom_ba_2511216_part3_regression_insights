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a23dd9797649796/ドキュメント/ananyadas_bitsom_ba_2511216_part3_regression_insights/analysis/"/>
    </mc:Choice>
  </mc:AlternateContent>
  <xr:revisionPtr revIDLastSave="403" documentId="11_79DE954A56C6DB34D0DF3229E31A59A73D67C35E" xr6:coauthVersionLast="47" xr6:coauthVersionMax="47" xr10:uidLastSave="{6765BCF2-EA83-4196-8CD0-FACC3BCA92F5}"/>
  <bookViews>
    <workbookView xWindow="-108" yWindow="-108" windowWidth="23256" windowHeight="12456" firstSheet="5" activeTab="8" xr2:uid="{00000000-000D-0000-FFFF-FFFF00000000}"/>
  </bookViews>
  <sheets>
    <sheet name="Original Dataset" sheetId="1" r:id="rId1"/>
    <sheet name="Cleaned Data" sheetId="3" r:id="rId2"/>
    <sheet name="Dummy Variables" sheetId="4" r:id="rId3"/>
    <sheet name="Simple Regression" sheetId="12" r:id="rId4"/>
    <sheet name="Simple Regresssion_Footfall" sheetId="13" r:id="rId5"/>
    <sheet name="Multiple Regression" sheetId="15" r:id="rId6"/>
    <sheet name="Predictions Residuals" sheetId="7" r:id="rId7"/>
    <sheet name="Model Comparison" sheetId="8" r:id="rId8"/>
    <sheet name="data_dictionary" sheetId="2" r:id="rId9"/>
  </sheets>
  <definedNames>
    <definedName name="_xlnm._FilterDatabase" localSheetId="1" hidden="1">'Cleaned Data'!$A$1:$N$321</definedName>
    <definedName name="_xlnm._FilterDatabase" localSheetId="2" hidden="1">'Dummy Variables'!$D$1:$D$321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7" l="1"/>
  <c r="M4" i="7"/>
  <c r="M5" i="7"/>
  <c r="M9" i="7"/>
  <c r="M8" i="7"/>
  <c r="M7" i="7"/>
  <c r="M6" i="7"/>
  <c r="M10" i="7"/>
  <c r="M12" i="7"/>
  <c r="M13" i="7"/>
  <c r="M11" i="7"/>
  <c r="M14" i="7"/>
  <c r="M17" i="7"/>
  <c r="M16" i="7"/>
  <c r="M15" i="7"/>
  <c r="M19" i="7"/>
  <c r="M21" i="7"/>
  <c r="M20" i="7"/>
  <c r="M18" i="7"/>
  <c r="M25" i="7"/>
  <c r="M24" i="7"/>
  <c r="M22" i="7"/>
  <c r="M23" i="7"/>
  <c r="M28" i="7"/>
  <c r="M29" i="7"/>
  <c r="M27" i="7"/>
  <c r="M26" i="7"/>
  <c r="M33" i="7"/>
  <c r="M30" i="7"/>
  <c r="M31" i="7"/>
  <c r="M32" i="7"/>
  <c r="M37" i="7"/>
  <c r="M36" i="7"/>
  <c r="M34" i="7"/>
  <c r="M35" i="7"/>
  <c r="M38" i="7"/>
  <c r="M41" i="7"/>
  <c r="M40" i="7"/>
  <c r="M39" i="7"/>
  <c r="M45" i="7"/>
  <c r="M44" i="7"/>
  <c r="M42" i="7"/>
  <c r="M43" i="7"/>
  <c r="M49" i="7"/>
  <c r="M48" i="7"/>
  <c r="M46" i="7"/>
  <c r="M47" i="7"/>
  <c r="M53" i="7"/>
  <c r="M52" i="7"/>
  <c r="M51" i="7"/>
  <c r="M50" i="7"/>
  <c r="M57" i="7"/>
  <c r="M55" i="7"/>
  <c r="M54" i="7"/>
  <c r="M56" i="7"/>
  <c r="M58" i="7"/>
  <c r="M59" i="7"/>
  <c r="M60" i="7"/>
  <c r="M61" i="7"/>
  <c r="M62" i="7"/>
  <c r="M63" i="7"/>
  <c r="M65" i="7"/>
  <c r="M64" i="7"/>
  <c r="M68" i="7"/>
  <c r="M67" i="7"/>
  <c r="M69" i="7"/>
  <c r="M66" i="7"/>
  <c r="M70" i="7"/>
  <c r="M73" i="7"/>
  <c r="M72" i="7"/>
  <c r="M71" i="7"/>
  <c r="M75" i="7"/>
  <c r="M77" i="7"/>
  <c r="M74" i="7"/>
  <c r="M76" i="7"/>
  <c r="M80" i="7"/>
  <c r="M79" i="7"/>
  <c r="M78" i="7"/>
  <c r="M81" i="7"/>
  <c r="M85" i="7"/>
  <c r="M83" i="7"/>
  <c r="M82" i="7"/>
  <c r="M84" i="7"/>
  <c r="M86" i="7"/>
  <c r="M89" i="7"/>
  <c r="M87" i="7"/>
  <c r="M88" i="7"/>
  <c r="M90" i="7"/>
  <c r="M93" i="7"/>
  <c r="M92" i="7"/>
  <c r="M91" i="7"/>
  <c r="M96" i="7"/>
  <c r="M95" i="7"/>
  <c r="M94" i="7"/>
  <c r="M97" i="7"/>
  <c r="M101" i="7"/>
  <c r="M98" i="7"/>
  <c r="M100" i="7"/>
  <c r="M99" i="7"/>
  <c r="M103" i="7"/>
  <c r="M105" i="7"/>
  <c r="M104" i="7"/>
  <c r="M102" i="7"/>
  <c r="M107" i="7"/>
  <c r="M109" i="7"/>
  <c r="M106" i="7"/>
  <c r="M108" i="7"/>
  <c r="M111" i="7"/>
  <c r="M112" i="7"/>
  <c r="M113" i="7"/>
  <c r="M110" i="7"/>
  <c r="M114" i="7"/>
  <c r="M115" i="7"/>
  <c r="M117" i="7"/>
  <c r="M116" i="7"/>
  <c r="M119" i="7"/>
  <c r="M118" i="7"/>
  <c r="M121" i="7"/>
  <c r="M120" i="7"/>
  <c r="M124" i="7"/>
  <c r="M122" i="7"/>
  <c r="M123" i="7"/>
  <c r="M125" i="7"/>
  <c r="M126" i="7"/>
  <c r="M129" i="7"/>
  <c r="M127" i="7"/>
  <c r="M128" i="7"/>
  <c r="M130" i="7"/>
  <c r="M131" i="7"/>
  <c r="M133" i="7"/>
  <c r="M132" i="7"/>
  <c r="M137" i="7"/>
  <c r="M136" i="7"/>
  <c r="M134" i="7"/>
  <c r="M135" i="7"/>
  <c r="M141" i="7"/>
  <c r="M139" i="7"/>
  <c r="M138" i="7"/>
  <c r="M140" i="7"/>
  <c r="M143" i="7"/>
  <c r="M145" i="7"/>
  <c r="M142" i="7"/>
  <c r="M144" i="7"/>
  <c r="M149" i="7"/>
  <c r="M148" i="7"/>
  <c r="M147" i="7"/>
  <c r="M146" i="7"/>
  <c r="M153" i="7"/>
  <c r="M152" i="7"/>
  <c r="M150" i="7"/>
  <c r="M151" i="7"/>
  <c r="M156" i="7"/>
  <c r="M154" i="7"/>
  <c r="M157" i="7"/>
  <c r="M155" i="7"/>
  <c r="M160" i="7"/>
  <c r="M161" i="7"/>
  <c r="M158" i="7"/>
  <c r="M159" i="7"/>
  <c r="M165" i="7"/>
  <c r="M162" i="7"/>
  <c r="M164" i="7"/>
  <c r="M163" i="7"/>
  <c r="M166" i="7"/>
  <c r="M169" i="7"/>
  <c r="M168" i="7"/>
  <c r="M167" i="7"/>
  <c r="M172" i="7"/>
  <c r="M173" i="7"/>
  <c r="M170" i="7"/>
  <c r="M171" i="7"/>
  <c r="M174" i="7"/>
  <c r="M177" i="7"/>
  <c r="M176" i="7"/>
  <c r="M175" i="7"/>
  <c r="M181" i="7"/>
  <c r="M178" i="7"/>
  <c r="M180" i="7"/>
  <c r="M179" i="7"/>
  <c r="M183" i="7"/>
  <c r="M182" i="7"/>
  <c r="M185" i="7"/>
  <c r="M184" i="7"/>
  <c r="M189" i="7"/>
  <c r="M187" i="7"/>
  <c r="M186" i="7"/>
  <c r="M188" i="7"/>
  <c r="M190" i="7"/>
  <c r="M191" i="7"/>
  <c r="M192" i="7"/>
  <c r="M193" i="7"/>
  <c r="M196" i="7"/>
  <c r="M195" i="7"/>
  <c r="M194" i="7"/>
  <c r="M197" i="7"/>
  <c r="M199" i="7"/>
  <c r="M201" i="7"/>
  <c r="M200" i="7"/>
  <c r="M198" i="7"/>
  <c r="M203" i="7"/>
  <c r="M202" i="7"/>
  <c r="M205" i="7"/>
  <c r="M204" i="7"/>
  <c r="M207" i="7"/>
  <c r="M206" i="7"/>
  <c r="M208" i="7"/>
  <c r="M209" i="7"/>
  <c r="M210" i="7"/>
  <c r="M213" i="7"/>
  <c r="M212" i="7"/>
  <c r="M211" i="7"/>
  <c r="M215" i="7"/>
  <c r="M214" i="7"/>
  <c r="M217" i="7"/>
  <c r="M216" i="7"/>
  <c r="M219" i="7"/>
  <c r="M221" i="7"/>
  <c r="M218" i="7"/>
  <c r="M220" i="7"/>
  <c r="M222" i="7"/>
  <c r="M223" i="7"/>
  <c r="M224" i="7"/>
  <c r="M225" i="7"/>
  <c r="M226" i="7"/>
  <c r="M228" i="7"/>
  <c r="M229" i="7"/>
  <c r="M227" i="7"/>
  <c r="M233" i="7"/>
  <c r="M230" i="7"/>
  <c r="M232" i="7"/>
  <c r="M231" i="7"/>
  <c r="M235" i="7"/>
  <c r="M234" i="7"/>
  <c r="M236" i="7"/>
  <c r="M237" i="7"/>
  <c r="M241" i="7"/>
  <c r="M240" i="7"/>
  <c r="M239" i="7"/>
  <c r="M238" i="7"/>
  <c r="M242" i="7"/>
  <c r="M243" i="7"/>
  <c r="M245" i="7"/>
  <c r="M244" i="7"/>
  <c r="M246" i="7"/>
  <c r="M247" i="7"/>
  <c r="M249" i="7"/>
  <c r="M248" i="7"/>
  <c r="M251" i="7"/>
  <c r="M253" i="7"/>
  <c r="M252" i="7"/>
  <c r="M250" i="7"/>
  <c r="M256" i="7"/>
  <c r="M254" i="7"/>
  <c r="M255" i="7"/>
  <c r="M257" i="7"/>
  <c r="M258" i="7"/>
  <c r="M260" i="7"/>
  <c r="M261" i="7"/>
  <c r="M259" i="7"/>
  <c r="M264" i="7"/>
  <c r="M265" i="7"/>
  <c r="M262" i="7"/>
  <c r="M263" i="7"/>
  <c r="M269" i="7"/>
  <c r="M267" i="7"/>
  <c r="M268" i="7"/>
  <c r="M266" i="7"/>
  <c r="M273" i="7"/>
  <c r="M270" i="7"/>
  <c r="M271" i="7"/>
  <c r="M272" i="7"/>
  <c r="M276" i="7"/>
  <c r="M275" i="7"/>
  <c r="M277" i="7"/>
  <c r="M274" i="7"/>
  <c r="M281" i="7"/>
  <c r="M278" i="7"/>
  <c r="M279" i="7"/>
  <c r="M280" i="7"/>
  <c r="M285" i="7"/>
  <c r="M284" i="7"/>
  <c r="M282" i="7"/>
  <c r="M283" i="7"/>
  <c r="M288" i="7"/>
  <c r="M287" i="7"/>
  <c r="M286" i="7"/>
  <c r="M289" i="7"/>
  <c r="M291" i="7"/>
  <c r="M293" i="7"/>
  <c r="M290" i="7"/>
  <c r="M292" i="7"/>
  <c r="M297" i="7"/>
  <c r="M295" i="7"/>
  <c r="M296" i="7"/>
  <c r="M294" i="7"/>
  <c r="M299" i="7"/>
  <c r="M298" i="7"/>
  <c r="M300" i="7"/>
  <c r="M301" i="7"/>
  <c r="M305" i="7"/>
  <c r="M303" i="7"/>
  <c r="M304" i="7"/>
  <c r="M302" i="7"/>
  <c r="M307" i="7"/>
  <c r="M309" i="7"/>
  <c r="M306" i="7"/>
  <c r="M308" i="7"/>
  <c r="M311" i="7"/>
  <c r="M313" i="7"/>
  <c r="M312" i="7"/>
  <c r="M310" i="7"/>
  <c r="M314" i="7"/>
  <c r="M317" i="7"/>
  <c r="M315" i="7"/>
  <c r="M316" i="7"/>
  <c r="M321" i="7"/>
  <c r="M318" i="7"/>
  <c r="M319" i="7"/>
  <c r="M320" i="7"/>
  <c r="M2" i="7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2" i="4"/>
  <c r="T2" i="4"/>
  <c r="S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Q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2" i="4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2" i="3"/>
  <c r="Z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2" i="3"/>
  <c r="Z2" i="3"/>
  <c r="N197" i="7" l="1"/>
  <c r="N198" i="7"/>
  <c r="N205" i="7"/>
  <c r="N208" i="7"/>
  <c r="N213" i="7"/>
  <c r="N211" i="7"/>
  <c r="N217" i="7"/>
  <c r="N221" i="7"/>
  <c r="N223" i="7"/>
  <c r="N229" i="7"/>
  <c r="N233" i="7"/>
  <c r="N234" i="7"/>
  <c r="N240" i="7"/>
  <c r="N242" i="7"/>
  <c r="N249" i="7"/>
  <c r="N251" i="7"/>
  <c r="N254" i="7"/>
  <c r="N265" i="7"/>
  <c r="N263" i="7"/>
  <c r="N266" i="7"/>
  <c r="N275" i="7"/>
  <c r="N280" i="7"/>
  <c r="N288" i="7"/>
  <c r="N291" i="7"/>
  <c r="N297" i="7"/>
  <c r="N304" i="7"/>
  <c r="N306" i="7"/>
  <c r="N310" i="7"/>
  <c r="N318" i="7"/>
  <c r="N199" i="7"/>
  <c r="N200" i="7"/>
  <c r="N202" i="7"/>
  <c r="N206" i="7"/>
  <c r="N210" i="7"/>
  <c r="N214" i="7"/>
  <c r="N219" i="7"/>
  <c r="N222" i="7"/>
  <c r="N225" i="7"/>
  <c r="N227" i="7"/>
  <c r="N231" i="7"/>
  <c r="N237" i="7"/>
  <c r="N238" i="7"/>
  <c r="N244" i="7"/>
  <c r="N248" i="7"/>
  <c r="N256" i="7"/>
  <c r="N258" i="7"/>
  <c r="N259" i="7"/>
  <c r="N268" i="7"/>
  <c r="N273" i="7"/>
  <c r="N277" i="7"/>
  <c r="N279" i="7"/>
  <c r="N282" i="7"/>
  <c r="N293" i="7"/>
  <c r="N295" i="7"/>
  <c r="N298" i="7"/>
  <c r="N303" i="7"/>
  <c r="N308" i="7"/>
  <c r="N314" i="7"/>
  <c r="N320" i="7"/>
  <c r="N201" i="7"/>
  <c r="N203" i="7"/>
  <c r="N207" i="7"/>
  <c r="N209" i="7"/>
  <c r="N212" i="7"/>
  <c r="N215" i="7"/>
  <c r="N216" i="7"/>
  <c r="N218" i="7"/>
  <c r="N224" i="7"/>
  <c r="N228" i="7"/>
  <c r="N230" i="7"/>
  <c r="N235" i="7"/>
  <c r="N241" i="7"/>
  <c r="N243" i="7"/>
  <c r="N247" i="7"/>
  <c r="N252" i="7"/>
  <c r="N255" i="7"/>
  <c r="N264" i="7"/>
  <c r="N262" i="7"/>
  <c r="N272" i="7"/>
  <c r="N285" i="7"/>
  <c r="N287" i="7"/>
  <c r="N290" i="7"/>
  <c r="N294" i="7"/>
  <c r="N300" i="7"/>
  <c r="N307" i="7"/>
  <c r="N312" i="7"/>
  <c r="N321" i="7"/>
  <c r="N220" i="7"/>
  <c r="N246" i="7"/>
  <c r="N250" i="7"/>
  <c r="N257" i="7"/>
  <c r="N261" i="7"/>
  <c r="N269" i="7"/>
  <c r="N271" i="7"/>
  <c r="N274" i="7"/>
  <c r="N284" i="7"/>
  <c r="N286" i="7"/>
  <c r="N292" i="7"/>
  <c r="N299" i="7"/>
  <c r="N305" i="7"/>
  <c r="N309" i="7"/>
  <c r="N313" i="7"/>
  <c r="N315" i="7"/>
  <c r="N204" i="7"/>
  <c r="N226" i="7"/>
  <c r="N232" i="7"/>
  <c r="N236" i="7"/>
  <c r="N239" i="7"/>
  <c r="N245" i="7"/>
  <c r="N253" i="7"/>
  <c r="N260" i="7"/>
  <c r="N267" i="7"/>
  <c r="N276" i="7"/>
  <c r="N278" i="7"/>
  <c r="N283" i="7"/>
  <c r="N289" i="7"/>
  <c r="N296" i="7"/>
  <c r="N301" i="7"/>
  <c r="N311" i="7"/>
  <c r="N317" i="7"/>
  <c r="N319" i="7"/>
  <c r="N281" i="7"/>
  <c r="N270" i="7"/>
  <c r="N302" i="7"/>
  <c r="N316" i="7"/>
  <c r="N2" i="7"/>
  <c r="N3" i="7"/>
  <c r="N12" i="7"/>
  <c r="N13" i="7"/>
  <c r="N11" i="7"/>
  <c r="N14" i="7"/>
  <c r="N17" i="7"/>
  <c r="N16" i="7"/>
  <c r="N19" i="7"/>
  <c r="N20" i="7"/>
  <c r="N18" i="7"/>
  <c r="N22" i="7"/>
  <c r="N23" i="7"/>
  <c r="N26" i="7"/>
  <c r="N31" i="7"/>
  <c r="N34" i="7"/>
  <c r="N40" i="7"/>
  <c r="N42" i="7"/>
  <c r="N52" i="7"/>
  <c r="N55" i="7"/>
  <c r="N59" i="7"/>
  <c r="N65" i="7"/>
  <c r="N69" i="7"/>
  <c r="N75" i="7"/>
  <c r="N79" i="7"/>
  <c r="N82" i="7"/>
  <c r="N88" i="7"/>
  <c r="N96" i="7"/>
  <c r="N98" i="7"/>
  <c r="N104" i="7"/>
  <c r="N108" i="7"/>
  <c r="N113" i="7"/>
  <c r="N121" i="7"/>
  <c r="N123" i="7"/>
  <c r="N128" i="7"/>
  <c r="N133" i="7"/>
  <c r="N135" i="7"/>
  <c r="N143" i="7"/>
  <c r="N148" i="7"/>
  <c r="N150" i="7"/>
  <c r="N157" i="7"/>
  <c r="N165" i="7"/>
  <c r="N169" i="7"/>
  <c r="N172" i="7"/>
  <c r="N174" i="7"/>
  <c r="N178" i="7"/>
  <c r="N180" i="7"/>
  <c r="N184" i="7"/>
  <c r="N190" i="7"/>
  <c r="N195" i="7"/>
  <c r="N10" i="7"/>
  <c r="N24" i="7"/>
  <c r="N30" i="7"/>
  <c r="N35" i="7"/>
  <c r="N45" i="7"/>
  <c r="N48" i="7"/>
  <c r="N47" i="7"/>
  <c r="N57" i="7"/>
  <c r="N60" i="7"/>
  <c r="N62" i="7"/>
  <c r="N68" i="7"/>
  <c r="N72" i="7"/>
  <c r="N74" i="7"/>
  <c r="N81" i="7"/>
  <c r="N89" i="7"/>
  <c r="N93" i="7"/>
  <c r="N97" i="7"/>
  <c r="N105" i="7"/>
  <c r="N109" i="7"/>
  <c r="N114" i="7"/>
  <c r="N119" i="7"/>
  <c r="N125" i="7"/>
  <c r="N130" i="7"/>
  <c r="N137" i="7"/>
  <c r="N141" i="7"/>
  <c r="N145" i="7"/>
  <c r="N147" i="7"/>
  <c r="N154" i="7"/>
  <c r="N160" i="7"/>
  <c r="N162" i="7"/>
  <c r="N168" i="7"/>
  <c r="N171" i="7"/>
  <c r="N181" i="7"/>
  <c r="N185" i="7"/>
  <c r="N186" i="7"/>
  <c r="N191" i="7"/>
  <c r="N4" i="7"/>
  <c r="N5" i="7"/>
  <c r="N8" i="7"/>
  <c r="N6" i="7"/>
  <c r="N15" i="7"/>
  <c r="N25" i="7"/>
  <c r="N28" i="7"/>
  <c r="N33" i="7"/>
  <c r="N37" i="7"/>
  <c r="N39" i="7"/>
  <c r="N49" i="7"/>
  <c r="N51" i="7"/>
  <c r="N56" i="7"/>
  <c r="N61" i="7"/>
  <c r="N66" i="7"/>
  <c r="N71" i="7"/>
  <c r="N76" i="7"/>
  <c r="N83" i="7"/>
  <c r="N86" i="7"/>
  <c r="N90" i="7"/>
  <c r="N95" i="7"/>
  <c r="N100" i="7"/>
  <c r="N102" i="7"/>
  <c r="N111" i="7"/>
  <c r="N110" i="7"/>
  <c r="N116" i="7"/>
  <c r="N120" i="7"/>
  <c r="N126" i="7"/>
  <c r="N131" i="7"/>
  <c r="N134" i="7"/>
  <c r="N138" i="7"/>
  <c r="N142" i="7"/>
  <c r="N146" i="7"/>
  <c r="N151" i="7"/>
  <c r="N158" i="7"/>
  <c r="N163" i="7"/>
  <c r="N170" i="7"/>
  <c r="N175" i="7"/>
  <c r="N179" i="7"/>
  <c r="N188" i="7"/>
  <c r="N193" i="7"/>
  <c r="N194" i="7"/>
  <c r="N9" i="7"/>
  <c r="N29" i="7"/>
  <c r="N36" i="7"/>
  <c r="N41" i="7"/>
  <c r="N44" i="7"/>
  <c r="N46" i="7"/>
  <c r="N50" i="7"/>
  <c r="N58" i="7"/>
  <c r="N63" i="7"/>
  <c r="N67" i="7"/>
  <c r="N70" i="7"/>
  <c r="N77" i="7"/>
  <c r="N78" i="7"/>
  <c r="N87" i="7"/>
  <c r="N91" i="7"/>
  <c r="N101" i="7"/>
  <c r="N103" i="7"/>
  <c r="N107" i="7"/>
  <c r="N112" i="7"/>
  <c r="N117" i="7"/>
  <c r="N124" i="7"/>
  <c r="N129" i="7"/>
  <c r="N132" i="7"/>
  <c r="N140" i="7"/>
  <c r="N149" i="7"/>
  <c r="N153" i="7"/>
  <c r="N156" i="7"/>
  <c r="N161" i="7"/>
  <c r="N164" i="7"/>
  <c r="N167" i="7"/>
  <c r="N177" i="7"/>
  <c r="N182" i="7"/>
  <c r="N189" i="7"/>
  <c r="N192" i="7"/>
  <c r="N7" i="7"/>
  <c r="N21" i="7"/>
  <c r="N27" i="7"/>
  <c r="N32" i="7"/>
  <c r="N38" i="7"/>
  <c r="N43" i="7"/>
  <c r="N53" i="7"/>
  <c r="N54" i="7"/>
  <c r="N64" i="7"/>
  <c r="N73" i="7"/>
  <c r="N80" i="7"/>
  <c r="N85" i="7"/>
  <c r="N84" i="7"/>
  <c r="N92" i="7"/>
  <c r="N94" i="7"/>
  <c r="N99" i="7"/>
  <c r="N106" i="7"/>
  <c r="N115" i="7"/>
  <c r="N118" i="7"/>
  <c r="N122" i="7"/>
  <c r="N127" i="7"/>
  <c r="N136" i="7"/>
  <c r="N139" i="7"/>
  <c r="N144" i="7"/>
  <c r="N152" i="7"/>
  <c r="N155" i="7"/>
  <c r="N159" i="7"/>
  <c r="N166" i="7"/>
  <c r="N173" i="7"/>
  <c r="N176" i="7"/>
  <c r="N183" i="7"/>
  <c r="N187" i="7"/>
  <c r="N196" i="7"/>
</calcChain>
</file>

<file path=xl/sharedStrings.xml><?xml version="1.0" encoding="utf-8"?>
<sst xmlns="http://schemas.openxmlformats.org/spreadsheetml/2006/main" count="3415" uniqueCount="179">
  <si>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</si>
  <si>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</si>
  <si>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</si>
  <si>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</si>
  <si>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</si>
  <si>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</si>
  <si>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</si>
  <si>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</si>
  <si>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</si>
  <si>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</si>
  <si>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</si>
  <si>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</si>
  <si>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</si>
  <si>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</si>
  <si>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</si>
  <si>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</si>
  <si>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</si>
  <si>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</si>
  <si>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</si>
  <si>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</si>
  <si>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</si>
  <si>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</si>
  <si>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</si>
  <si>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</si>
  <si>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</si>
  <si>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</si>
  <si>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</si>
  <si>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</si>
  <si>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</si>
  <si>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</si>
  <si>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</si>
  <si>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</si>
  <si>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</si>
  <si>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</si>
  <si>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</si>
  <si>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</si>
  <si>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</si>
  <si>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</si>
  <si>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</si>
  <si>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</si>
  <si>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</si>
  <si>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</si>
  <si>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</si>
  <si>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</si>
  <si>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</si>
  <si>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</si>
  <si>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</si>
  <si>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</si>
  <si>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</si>
  <si>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</si>
  <si>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</si>
  <si>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</si>
  <si>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</si>
  <si>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</si>
  <si>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</si>
  <si>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</si>
  <si>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</si>
  <si>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</si>
  <si>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</si>
  <si>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</si>
  <si>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</si>
  <si>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</si>
  <si>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</si>
  <si>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</si>
  <si>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</si>
  <si>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</si>
  <si>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</si>
  <si>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</si>
  <si>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</si>
  <si>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</si>
  <si>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</si>
  <si>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</si>
  <si>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</si>
  <si>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</si>
  <si>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</si>
  <si>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</si>
  <si>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</si>
  <si>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</si>
  <si>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</si>
  <si>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</si>
  <si>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</si>
  <si>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</si>
  <si>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</si>
  <si>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</si>
  <si>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</si>
  <si>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</si>
  <si>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</si>
  <si>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</si>
  <si>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</si>
  <si>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</si>
  <si>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</si>
  <si>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</si>
  <si>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</si>
  <si>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</si>
  <si>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</si>
  <si>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</si>
  <si>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</si>
  <si>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</si>
  <si>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</si>
  <si>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</si>
  <si>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</si>
  <si>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</si>
  <si>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Column</t>
  </si>
  <si>
    <t>Description</t>
  </si>
  <si>
    <t>Unique store identifier.</t>
  </si>
  <si>
    <t>Reporting month.</t>
  </si>
  <si>
    <t>Business region.</t>
  </si>
  <si>
    <t>Mall, High Street, Residential, or Airport.</t>
  </si>
  <si>
    <t>Monthly marketing spend for the store.</t>
  </si>
  <si>
    <t>Monthly visitor count.</t>
  </si>
  <si>
    <t>Average discount percentage for the month.</t>
  </si>
  <si>
    <t>Number of store staff.</t>
  </si>
  <si>
    <t>Average product availability percentage.</t>
  </si>
  <si>
    <t>Distance to nearest competitor.</t>
  </si>
  <si>
    <t>1 if the month/store period had a meaningful holiday effect; otherwise 0.</t>
  </si>
  <si>
    <t>Average customer rating.</t>
  </si>
  <si>
    <t>Dependent variable for sales regression.</t>
  </si>
  <si>
    <t>Optional secondary business metric.</t>
  </si>
  <si>
    <t>Region_North</t>
  </si>
  <si>
    <t>Region_South</t>
  </si>
  <si>
    <t>Region_East</t>
  </si>
  <si>
    <t>Store_Mall</t>
  </si>
  <si>
    <t>Store_HighStreet</t>
  </si>
  <si>
    <t>Store_Airport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</si>
  <si>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</si>
  <si>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</si>
  <si>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</si>
  <si>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</si>
  <si>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</si>
  <si>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</si>
  <si>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</si>
  <si>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</si>
  <si>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</si>
  <si>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</si>
  <si>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</si>
  <si>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</si>
  <si>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</si>
  <si>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</si>
  <si>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</si>
  <si>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</si>
  <si>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</si>
  <si>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</si>
  <si>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</si>
  <si>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</si>
  <si>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</si>
  <si>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</si>
  <si>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</si>
  <si>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SIMPLE REGRESSION SUMMARY #1: USING Marketing Spend</t>
  </si>
  <si>
    <t>Marketing Spend</t>
  </si>
  <si>
    <t>SUMMARY OUTPUT: SIMPLE REGRESSION FOOTFALL</t>
  </si>
  <si>
    <t>Regression Equation:</t>
  </si>
  <si>
    <t>Monthly Sales = 560777.345 + (2.13 × Marketing Spend)</t>
  </si>
  <si>
    <t>R-Squared</t>
  </si>
  <si>
    <t>Coefficient</t>
  </si>
  <si>
    <t>P-Value</t>
  </si>
  <si>
    <t>Monthly Sales = 446410.58 + (35.678 × Marketing Spend)</t>
  </si>
  <si>
    <t xml:space="preserve">SUMMARY OUTPUT: MULTIPLE REGRESSION </t>
  </si>
  <si>
    <t>Comparison Table for Simple Regression and Multiple Regression</t>
  </si>
  <si>
    <t>Model</t>
  </si>
  <si>
    <t>Dependent Variable</t>
  </si>
  <si>
    <t>Independent Variables</t>
  </si>
  <si>
    <t>R²</t>
  </si>
  <si>
    <t>Significant Variables</t>
  </si>
  <si>
    <t>Business Usefulness</t>
  </si>
  <si>
    <t>Limitations</t>
  </si>
  <si>
    <t>Simple Regression – Marketing Spend</t>
  </si>
  <si>
    <t>Monthly Sales</t>
  </si>
  <si>
    <t>Shows impact of marketing investment</t>
  </si>
  <si>
    <t>Explains only part of sales variation</t>
  </si>
  <si>
    <t>Simple Regression – Footfall</t>
  </si>
  <si>
    <t>Footfall</t>
  </si>
  <si>
    <t>Measures impact of customer traffic</t>
  </si>
  <si>
    <t>Ignores other factors</t>
  </si>
  <si>
    <t>Multiple Regression</t>
  </si>
  <si>
    <t>Marketing Spend, Footfall, Inventory Availability, Customer Rating, Region Dummies, Store Type Dummies</t>
  </si>
  <si>
    <t>Marketing Spend, Footfall, Inventory Availability, Customer Rating, Region_East, Store_Mall, Store_HighStreet, Store_Airport</t>
  </si>
  <si>
    <t>Strong decision-making model</t>
  </si>
  <si>
    <t>Does not capture external factors</t>
  </si>
  <si>
    <t>Predicted_Sales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</si>
</sst>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0.000"/>
  </numFmts>
  <fonts count="6">
    <font>
      <sz val="11"/>
      <name val="Carlito"/>
    </font>
    <font>
      <b/>
      <sz val="11"/>
      <color rgb="FFFFFFFF"/>
      <name val="Carlito"/>
    </font>
    <font>
      <b/>
      <sz val="11"/>
      <color theme="0"/>
      <name val="Carlito"/>
    </font>
    <font>
      <i/>
      <sz val="11"/>
      <name val="Carlito"/>
    </font>
    <font>
      <b/>
      <sz val="11"/>
      <name val="Carlito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5F91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0" fillId="0" borderId="1" xfId="0" applyBorder="1"/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Continuous"/>
    </xf>
    <xf numFmtId="0" fontId="0" fillId="0" borderId="3" xfId="0" applyBorder="1"/>
    <xf numFmtId="0" fontId="0" fillId="0" borderId="3" xfId="0" applyBorder="1" applyAlignment="1">
      <alignment wrapText="1"/>
    </xf>
    <xf numFmtId="0" fontId="4" fillId="3" borderId="3" xfId="0" applyFont="1" applyFill="1" applyBorder="1"/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65" fontId="0" fillId="0" borderId="3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12"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84E466-C9B5-494A-993E-FBE1F3B29F3F}" name="Table1" displayName="Table1" ref="A3:G6" totalsRowShown="0" headerRowDxfId="11" dataDxfId="9" headerRowBorderDxfId="10" tableBorderDxfId="8" totalsRowBorderDxfId="7">
  <autoFilter ref="A3:G6" xr:uid="{1084E466-C9B5-494A-993E-FBE1F3B29F3F}"/>
  <tableColumns count="7">
    <tableColumn id="1" xr3:uid="{F2409046-1C1E-4DD4-83CF-FA3C88FDA6F3}" name="Model" dataDxfId="6"/>
    <tableColumn id="2" xr3:uid="{77EAD690-F392-4B31-97DE-232B5E00A00F}" name="Dependent Variable" dataDxfId="5"/>
    <tableColumn id="3" xr3:uid="{B6F22920-D285-4558-A4C7-0E21CC36E3D5}" name="Independent Variables" dataDxfId="4"/>
    <tableColumn id="4" xr3:uid="{1763845D-94FC-42F8-8F2B-B8C31145EC18}" name="R²" dataDxfId="3"/>
    <tableColumn id="5" xr3:uid="{966FE414-533D-41E4-B640-918F71D5C7CC}" name="Significant Variables" dataDxfId="2"/>
    <tableColumn id="6" xr3:uid="{B46E7915-5898-4784-8B0F-AC4D50FCA436}" name="Business Usefulness" dataDxfId="1"/>
    <tableColumn id="7" xr3:uid="{68DBBC0A-14CB-4180-96F6-39D7DFFA3D46}" name="Limitation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workbookViewId="0">
      <selection activeCell="D1" sqref="D1"/>
    </sheetView>
  </sheetViews>
  <sheetFormatPr defaultRowHeight="13.8"/>
  <cols>
    <col min="1" max="14" width="16" customWidth="1"/>
  </cols>
  <sheetData>
    <row r="1" spans="1:14" ht="22.35" customHeight="1">
      <c r="A1" s="1" t="s">
        <v>0</v>
      </c>
      <c r="B1" s="1" t="s">
        <v>1</v>
      </c>
      <c r="C1" s="1" t="s">
        <v>2</v>
      </c>
      <c r="D1" s="5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2E68-988A-47D7-A823-284D4C56FFE4}">
  <dimension ref="A1:Z321"/>
  <sheetViews>
    <sheetView workbookViewId="0"/>
  </sheetViews>
  <sheetFormatPr defaultRowHeight="13.8"/>
  <cols>
    <col min="1" max="9" width="16" customWidth="1"/>
    <col min="10" max="10" width="23.5" customWidth="1"/>
    <col min="11" max="14" width="16" customWidth="1"/>
  </cols>
  <sheetData>
    <row r="1" spans="1:26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26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f>IF(ISBLANK('Original Dataset'!J2),$Z$2,'Original Dataset'!J2)</f>
        <v>5.28</v>
      </c>
      <c r="K2">
        <v>1</v>
      </c>
      <c r="L2">
        <f>IF(ISBLANK('Original Dataset'!L2),$Z$3,'Original Dataset'!L2)</f>
        <v>3.1</v>
      </c>
      <c r="M2">
        <v>658832.62</v>
      </c>
      <c r="N2">
        <v>84349.93</v>
      </c>
      <c r="Z2">
        <f>MEDIAN('Original Dataset'!J:J)</f>
        <v>3.3650000000000002</v>
      </c>
    </row>
    <row r="3" spans="1:26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f>IF(ISBLANK('Original Dataset'!J3),$Z$2,'Original Dataset'!J3)</f>
        <v>4.3099999999999996</v>
      </c>
      <c r="K3">
        <v>0</v>
      </c>
      <c r="L3">
        <f>IF(ISBLANK('Original Dataset'!L3),$Z$3,'Original Dataset'!L3)</f>
        <v>2.8</v>
      </c>
      <c r="M3">
        <v>634436</v>
      </c>
      <c r="N3">
        <v>106130.54</v>
      </c>
      <c r="Z3" s="4">
        <f>AVERAGE('Original Dataset'!L:L)</f>
        <v>3.9246794871794881</v>
      </c>
    </row>
    <row r="4" spans="1:26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f>IF(ISBLANK('Original Dataset'!J4),$Z$2,'Original Dataset'!J4)</f>
        <v>12</v>
      </c>
      <c r="K4">
        <v>0</v>
      </c>
      <c r="L4">
        <f>IF(ISBLANK('Original Dataset'!L4),$Z$3,'Original Dataset'!L4)</f>
        <v>3.2</v>
      </c>
      <c r="M4">
        <v>678722.06</v>
      </c>
      <c r="N4">
        <v>101883.86</v>
      </c>
    </row>
    <row r="5" spans="1:26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f>IF(ISBLANK('Original Dataset'!J5),$Z$2,'Original Dataset'!J5)</f>
        <v>4.97</v>
      </c>
      <c r="K5">
        <v>0</v>
      </c>
      <c r="L5">
        <f>IF(ISBLANK('Original Dataset'!L5),$Z$3,'Original Dataset'!L5)</f>
        <v>3.4</v>
      </c>
      <c r="M5">
        <v>658920.30000000005</v>
      </c>
      <c r="N5">
        <v>97910.37</v>
      </c>
    </row>
    <row r="6" spans="1:26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f>IF(ISBLANK('Original Dataset'!J6),$Z$2,'Original Dataset'!J6)</f>
        <v>6.94</v>
      </c>
      <c r="K6">
        <v>1</v>
      </c>
      <c r="L6">
        <f>IF(ISBLANK('Original Dataset'!L6),$Z$3,'Original Dataset'!L6)</f>
        <v>4.2</v>
      </c>
      <c r="M6">
        <v>741341.44</v>
      </c>
      <c r="N6">
        <v>119208.17</v>
      </c>
    </row>
    <row r="7" spans="1:26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f>IF(ISBLANK('Original Dataset'!J7),$Z$2,'Original Dataset'!J7)</f>
        <v>2.88</v>
      </c>
      <c r="K7">
        <v>0</v>
      </c>
      <c r="L7">
        <f>IF(ISBLANK('Original Dataset'!L7),$Z$3,'Original Dataset'!L7)</f>
        <v>4.2</v>
      </c>
      <c r="M7">
        <v>761835.34</v>
      </c>
      <c r="N7">
        <v>149602.23000000001</v>
      </c>
    </row>
    <row r="8" spans="1:26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f>IF(ISBLANK('Original Dataset'!J8),$Z$2,'Original Dataset'!J8)</f>
        <v>0.2</v>
      </c>
      <c r="K8">
        <v>1</v>
      </c>
      <c r="L8">
        <f>IF(ISBLANK('Original Dataset'!L8),$Z$3,'Original Dataset'!L8)</f>
        <v>4.0999999999999996</v>
      </c>
      <c r="M8">
        <v>806615.54</v>
      </c>
      <c r="N8">
        <v>131364.62</v>
      </c>
    </row>
    <row r="9" spans="1:26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f>IF(ISBLANK('Original Dataset'!J9),$Z$2,'Original Dataset'!J9)</f>
        <v>0.8</v>
      </c>
      <c r="K9">
        <v>0</v>
      </c>
      <c r="L9">
        <f>IF(ISBLANK('Original Dataset'!L9),$Z$3,'Original Dataset'!L9)</f>
        <v>3.9</v>
      </c>
      <c r="M9">
        <v>850164.26</v>
      </c>
      <c r="N9">
        <v>149262.75</v>
      </c>
    </row>
    <row r="10" spans="1:26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f>IF(ISBLANK('Original Dataset'!J10),$Z$2,'Original Dataset'!J10)</f>
        <v>7.7</v>
      </c>
      <c r="K10">
        <v>1</v>
      </c>
      <c r="L10">
        <f>IF(ISBLANK('Original Dataset'!L10),$Z$3,'Original Dataset'!L10)</f>
        <v>3.8</v>
      </c>
      <c r="M10">
        <v>930581.7</v>
      </c>
      <c r="N10">
        <v>136207.98000000001</v>
      </c>
    </row>
    <row r="11" spans="1:26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f>IF(ISBLANK('Original Dataset'!J11),$Z$2,'Original Dataset'!J11)</f>
        <v>1.91</v>
      </c>
      <c r="K11">
        <v>0</v>
      </c>
      <c r="L11">
        <f>IF(ISBLANK('Original Dataset'!L11),$Z$3,'Original Dataset'!L11)</f>
        <v>4.2</v>
      </c>
      <c r="M11">
        <v>779010.94</v>
      </c>
      <c r="N11">
        <v>106328.09</v>
      </c>
    </row>
    <row r="12" spans="1:26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f>IF(ISBLANK('Original Dataset'!J12),$Z$2,'Original Dataset'!J12)</f>
        <v>10.46</v>
      </c>
      <c r="K12">
        <v>1</v>
      </c>
      <c r="L12">
        <f>IF(ISBLANK('Original Dataset'!L12),$Z$3,'Original Dataset'!L12)</f>
        <v>3.8</v>
      </c>
      <c r="M12">
        <v>723060.76</v>
      </c>
      <c r="N12">
        <v>123131.24</v>
      </c>
    </row>
    <row r="13" spans="1:26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f>IF(ISBLANK('Original Dataset'!J13),$Z$2,'Original Dataset'!J13)</f>
        <v>7.16</v>
      </c>
      <c r="K13">
        <v>0</v>
      </c>
      <c r="L13">
        <f>IF(ISBLANK('Original Dataset'!L13),$Z$3,'Original Dataset'!L13)</f>
        <v>3.8</v>
      </c>
      <c r="M13">
        <v>910791.94</v>
      </c>
      <c r="N13">
        <v>158891.28</v>
      </c>
    </row>
    <row r="14" spans="1:26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f>IF(ISBLANK('Original Dataset'!J14),$Z$2,'Original Dataset'!J14)</f>
        <v>4.24</v>
      </c>
      <c r="K14">
        <v>1</v>
      </c>
      <c r="L14">
        <f>IF(ISBLANK('Original Dataset'!L14),$Z$3,'Original Dataset'!L14)</f>
        <v>4.2</v>
      </c>
      <c r="M14">
        <v>922168.6</v>
      </c>
      <c r="N14">
        <v>107494.53</v>
      </c>
    </row>
    <row r="15" spans="1:26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f>IF(ISBLANK('Original Dataset'!J15),$Z$2,'Original Dataset'!J15)</f>
        <v>1.06</v>
      </c>
      <c r="K15">
        <v>0</v>
      </c>
      <c r="L15">
        <f>IF(ISBLANK('Original Dataset'!L15),$Z$3,'Original Dataset'!L15)</f>
        <v>4.3</v>
      </c>
      <c r="M15">
        <v>726606.28</v>
      </c>
      <c r="N15">
        <v>122729.29</v>
      </c>
    </row>
    <row r="16" spans="1:26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f>IF(ISBLANK('Original Dataset'!J16),$Z$2,'Original Dataset'!J16)</f>
        <v>0.27</v>
      </c>
      <c r="K16">
        <v>0</v>
      </c>
      <c r="L16">
        <f>IF(ISBLANK('Original Dataset'!L16),$Z$3,'Original Dataset'!L16)</f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f>IF(ISBLANK('Original Dataset'!J17),$Z$2,'Original Dataset'!J17)</f>
        <v>1.32</v>
      </c>
      <c r="K17">
        <v>0</v>
      </c>
      <c r="L17">
        <f>IF(ISBLANK('Original Dataset'!L17),$Z$3,'Original Dataset'!L17)</f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f>IF(ISBLANK('Original Dataset'!J18),$Z$2,'Original Dataset'!J18)</f>
        <v>1.22</v>
      </c>
      <c r="K18">
        <v>0</v>
      </c>
      <c r="L18">
        <f>IF(ISBLANK('Original Dataset'!L18),$Z$3,'Original Dataset'!L18)</f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f>IF(ISBLANK('Original Dataset'!J19),$Z$2,'Original Dataset'!J19)</f>
        <v>4.01</v>
      </c>
      <c r="K19">
        <v>0</v>
      </c>
      <c r="L19">
        <f>IF(ISBLANK('Original Dataset'!L19),$Z$3,'Original Dataset'!L19)</f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f>IF(ISBLANK('Original Dataset'!J20),$Z$2,'Original Dataset'!J20)</f>
        <v>0.2</v>
      </c>
      <c r="K20">
        <v>0</v>
      </c>
      <c r="L20">
        <f>IF(ISBLANK('Original Dataset'!L20),$Z$3,'Original Dataset'!L20)</f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f>IF(ISBLANK('Original Dataset'!J21),$Z$2,'Original Dataset'!J21)</f>
        <v>0.5</v>
      </c>
      <c r="K21">
        <v>0</v>
      </c>
      <c r="L21">
        <f>IF(ISBLANK('Original Dataset'!L21),$Z$3,'Original Dataset'!L21)</f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f>IF(ISBLANK('Original Dataset'!J22),$Z$2,'Original Dataset'!J22)</f>
        <v>6.95</v>
      </c>
      <c r="K22">
        <v>0</v>
      </c>
      <c r="L22">
        <f>IF(ISBLANK('Original Dataset'!L22),$Z$3,'Original Dataset'!L22)</f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f>IF(ISBLANK('Original Dataset'!J23),$Z$2,'Original Dataset'!J23)</f>
        <v>0.2</v>
      </c>
      <c r="K23">
        <v>0</v>
      </c>
      <c r="L23">
        <f>IF(ISBLANK('Original Dataset'!L23),$Z$3,'Original Dataset'!L23)</f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f>IF(ISBLANK('Original Dataset'!J24),$Z$2,'Original Dataset'!J24)</f>
        <v>1.61</v>
      </c>
      <c r="K24">
        <v>1</v>
      </c>
      <c r="L24">
        <f>IF(ISBLANK('Original Dataset'!L24),$Z$3,'Original Dataset'!L24)</f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f>IF(ISBLANK('Original Dataset'!J25),$Z$2,'Original Dataset'!J25)</f>
        <v>1.55</v>
      </c>
      <c r="K25">
        <v>0</v>
      </c>
      <c r="L25">
        <f>IF(ISBLANK('Original Dataset'!L25),$Z$3,'Original Dataset'!L25)</f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f>IF(ISBLANK('Original Dataset'!J26),$Z$2,'Original Dataset'!J26)</f>
        <v>2.99</v>
      </c>
      <c r="K26">
        <v>0</v>
      </c>
      <c r="L26">
        <f>IF(ISBLANK('Original Dataset'!L26),$Z$3,'Original Dataset'!L26)</f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f>IF(ISBLANK('Original Dataset'!J27),$Z$2,'Original Dataset'!J27)</f>
        <v>7.04</v>
      </c>
      <c r="K27">
        <v>0</v>
      </c>
      <c r="L27">
        <f>IF(ISBLANK('Original Dataset'!L27),$Z$3,'Original Dataset'!L27)</f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f>IF(ISBLANK('Original Dataset'!J28),$Z$2,'Original Dataset'!J28)</f>
        <v>4.9400000000000004</v>
      </c>
      <c r="K28">
        <v>0</v>
      </c>
      <c r="L28">
        <f>IF(ISBLANK('Original Dataset'!L28),$Z$3,'Original Dataset'!L28)</f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f>IF(ISBLANK('Original Dataset'!J29),$Z$2,'Original Dataset'!J29)</f>
        <v>16.149999999999999</v>
      </c>
      <c r="K29">
        <v>0</v>
      </c>
      <c r="L29">
        <f>IF(ISBLANK('Original Dataset'!L29),$Z$3,'Original Dataset'!L29)</f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f>IF(ISBLANK('Original Dataset'!J30),$Z$2,'Original Dataset'!J30)</f>
        <v>0.48</v>
      </c>
      <c r="K30">
        <v>0</v>
      </c>
      <c r="L30">
        <f>IF(ISBLANK('Original Dataset'!L30),$Z$3,'Original Dataset'!L30)</f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f>IF(ISBLANK('Original Dataset'!J31),$Z$2,'Original Dataset'!J31)</f>
        <v>0.31</v>
      </c>
      <c r="K31">
        <v>0</v>
      </c>
      <c r="L31">
        <f>IF(ISBLANK('Original Dataset'!L31),$Z$3,'Original Dataset'!L31)</f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f>IF(ISBLANK('Original Dataset'!J32),$Z$2,'Original Dataset'!J32)</f>
        <v>3.01</v>
      </c>
      <c r="K32">
        <v>1</v>
      </c>
      <c r="L32">
        <f>IF(ISBLANK('Original Dataset'!L32),$Z$3,'Original Dataset'!L32)</f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f>IF(ISBLANK('Original Dataset'!J33),$Z$2,'Original Dataset'!J33)</f>
        <v>12.15</v>
      </c>
      <c r="K33">
        <v>0</v>
      </c>
      <c r="L33">
        <f>IF(ISBLANK('Original Dataset'!L33),$Z$3,'Original Dataset'!L33)</f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f>IF(ISBLANK('Original Dataset'!J34),$Z$2,'Original Dataset'!J34)</f>
        <v>11.71</v>
      </c>
      <c r="K34">
        <v>0</v>
      </c>
      <c r="L34">
        <f>IF(ISBLANK('Original Dataset'!L34),$Z$3,'Original Dataset'!L34)</f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f>IF(ISBLANK('Original Dataset'!J35),$Z$2,'Original Dataset'!J35)</f>
        <v>0.62</v>
      </c>
      <c r="K35">
        <v>0</v>
      </c>
      <c r="L35" s="4">
        <f>IF(ISBLANK('Original Dataset'!L35),$Z$3,'Original Dataset'!L35)</f>
        <v>3.9246794871794881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f>IF(ISBLANK('Original Dataset'!J36),$Z$2,'Original Dataset'!J36)</f>
        <v>2.12</v>
      </c>
      <c r="K36">
        <v>0</v>
      </c>
      <c r="L36">
        <f>IF(ISBLANK('Original Dataset'!L36),$Z$3,'Original Dataset'!L36)</f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f>IF(ISBLANK('Original Dataset'!J37),$Z$2,'Original Dataset'!J37)</f>
        <v>6.31</v>
      </c>
      <c r="K37">
        <v>0</v>
      </c>
      <c r="L37">
        <f>IF(ISBLANK('Original Dataset'!L37),$Z$3,'Original Dataset'!L37)</f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f>IF(ISBLANK('Original Dataset'!J38),$Z$2,'Original Dataset'!J38)</f>
        <v>9.56</v>
      </c>
      <c r="K38">
        <v>1</v>
      </c>
      <c r="L38">
        <f>IF(ISBLANK('Original Dataset'!L38),$Z$3,'Original Dataset'!L38)</f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f>IF(ISBLANK('Original Dataset'!J39),$Z$2,'Original Dataset'!J39)</f>
        <v>9.0500000000000007</v>
      </c>
      <c r="K39">
        <v>0</v>
      </c>
      <c r="L39">
        <f>IF(ISBLANK('Original Dataset'!L39),$Z$3,'Original Dataset'!L39)</f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f>IF(ISBLANK('Original Dataset'!J40),$Z$2,'Original Dataset'!J40)</f>
        <v>5.05</v>
      </c>
      <c r="K40">
        <v>0</v>
      </c>
      <c r="L40">
        <f>IF(ISBLANK('Original Dataset'!L40),$Z$3,'Original Dataset'!L40)</f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f>IF(ISBLANK('Original Dataset'!J41),$Z$2,'Original Dataset'!J41)</f>
        <v>0.89</v>
      </c>
      <c r="K41">
        <v>0</v>
      </c>
      <c r="L41">
        <f>IF(ISBLANK('Original Dataset'!L41),$Z$3,'Original Dataset'!L41)</f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f>IF(ISBLANK('Original Dataset'!J42),$Z$2,'Original Dataset'!J42)</f>
        <v>5.57</v>
      </c>
      <c r="K42">
        <v>0</v>
      </c>
      <c r="L42">
        <f>IF(ISBLANK('Original Dataset'!L42),$Z$3,'Original Dataset'!L42)</f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f>IF(ISBLANK('Original Dataset'!J43),$Z$2,'Original Dataset'!J43)</f>
        <v>1.06</v>
      </c>
      <c r="K43">
        <v>0</v>
      </c>
      <c r="L43">
        <f>IF(ISBLANK('Original Dataset'!L43),$Z$3,'Original Dataset'!L43)</f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f>IF(ISBLANK('Original Dataset'!J44),$Z$2,'Original Dataset'!J44)</f>
        <v>1.24</v>
      </c>
      <c r="K44">
        <v>1</v>
      </c>
      <c r="L44">
        <f>IF(ISBLANK('Original Dataset'!L44),$Z$3,'Original Dataset'!L44)</f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f>IF(ISBLANK('Original Dataset'!J45),$Z$2,'Original Dataset'!J45)</f>
        <v>4.5199999999999996</v>
      </c>
      <c r="K45">
        <v>0</v>
      </c>
      <c r="L45">
        <f>IF(ISBLANK('Original Dataset'!L45),$Z$3,'Original Dataset'!L45)</f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f>IF(ISBLANK('Original Dataset'!J46),$Z$2,'Original Dataset'!J46)</f>
        <v>9.58</v>
      </c>
      <c r="K46">
        <v>0</v>
      </c>
      <c r="L46">
        <f>IF(ISBLANK('Original Dataset'!L46),$Z$3,'Original Dataset'!L46)</f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f>IF(ISBLANK('Original Dataset'!J47),$Z$2,'Original Dataset'!J47)</f>
        <v>5.52</v>
      </c>
      <c r="K47">
        <v>0</v>
      </c>
      <c r="L47">
        <f>IF(ISBLANK('Original Dataset'!L47),$Z$3,'Original Dataset'!L47)</f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f>IF(ISBLANK('Original Dataset'!J48),$Z$2,'Original Dataset'!J48)</f>
        <v>2.7</v>
      </c>
      <c r="K48">
        <v>1</v>
      </c>
      <c r="L48">
        <f>IF(ISBLANK('Original Dataset'!L48),$Z$3,'Original Dataset'!L48)</f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f>IF(ISBLANK('Original Dataset'!J49),$Z$2,'Original Dataset'!J49)</f>
        <v>9.64</v>
      </c>
      <c r="K49">
        <v>0</v>
      </c>
      <c r="L49">
        <f>IF(ISBLANK('Original Dataset'!L49),$Z$3,'Original Dataset'!L49)</f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f>IF(ISBLANK('Original Dataset'!J50),$Z$2,'Original Dataset'!J50)</f>
        <v>3.49</v>
      </c>
      <c r="K50">
        <v>1</v>
      </c>
      <c r="L50">
        <f>IF(ISBLANK('Original Dataset'!L50),$Z$3,'Original Dataset'!L50)</f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f>IF(ISBLANK('Original Dataset'!J51),$Z$2,'Original Dataset'!J51)</f>
        <v>9.11</v>
      </c>
      <c r="K51">
        <v>0</v>
      </c>
      <c r="L51">
        <f>IF(ISBLANK('Original Dataset'!L51),$Z$3,'Original Dataset'!L51)</f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f>IF(ISBLANK('Original Dataset'!J52),$Z$2,'Original Dataset'!J52)</f>
        <v>7.4</v>
      </c>
      <c r="K52">
        <v>0</v>
      </c>
      <c r="L52">
        <f>IF(ISBLANK('Original Dataset'!L52),$Z$3,'Original Dataset'!L52)</f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f>IF(ISBLANK('Original Dataset'!J53),$Z$2,'Original Dataset'!J53)</f>
        <v>7.16</v>
      </c>
      <c r="K53">
        <v>0</v>
      </c>
      <c r="L53">
        <f>IF(ISBLANK('Original Dataset'!L53),$Z$3,'Original Dataset'!L53)</f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f>IF(ISBLANK('Original Dataset'!J54),$Z$2,'Original Dataset'!J54)</f>
        <v>22.02</v>
      </c>
      <c r="K54">
        <v>0</v>
      </c>
      <c r="L54">
        <f>IF(ISBLANK('Original Dataset'!L54),$Z$3,'Original Dataset'!L54)</f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f>IF(ISBLANK('Original Dataset'!J55),$Z$2,'Original Dataset'!J55)</f>
        <v>6.18</v>
      </c>
      <c r="K55">
        <v>0</v>
      </c>
      <c r="L55">
        <f>IF(ISBLANK('Original Dataset'!L55),$Z$3,'Original Dataset'!L55)</f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f>IF(ISBLANK('Original Dataset'!J56),$Z$2,'Original Dataset'!J56)</f>
        <v>1.76</v>
      </c>
      <c r="K56">
        <v>0</v>
      </c>
      <c r="L56">
        <f>IF(ISBLANK('Original Dataset'!L56),$Z$3,'Original Dataset'!L56)</f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f>IF(ISBLANK('Original Dataset'!J57),$Z$2,'Original Dataset'!J57)</f>
        <v>0.47</v>
      </c>
      <c r="K57">
        <v>0</v>
      </c>
      <c r="L57">
        <f>IF(ISBLANK('Original Dataset'!L57),$Z$3,'Original Dataset'!L57)</f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f>IF(ISBLANK('Original Dataset'!J58),$Z$2,'Original Dataset'!J58)</f>
        <v>0.2</v>
      </c>
      <c r="K58">
        <v>0</v>
      </c>
      <c r="L58">
        <f>IF(ISBLANK('Original Dataset'!L58),$Z$3,'Original Dataset'!L58)</f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f>IF(ISBLANK('Original Dataset'!J59),$Z$2,'Original Dataset'!J59)</f>
        <v>5.1100000000000003</v>
      </c>
      <c r="K59">
        <v>0</v>
      </c>
      <c r="L59">
        <f>IF(ISBLANK('Original Dataset'!L59),$Z$3,'Original Dataset'!L59)</f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f>IF(ISBLANK('Original Dataset'!J60),$Z$2,'Original Dataset'!J60)</f>
        <v>0.2</v>
      </c>
      <c r="K60">
        <v>0</v>
      </c>
      <c r="L60">
        <f>IF(ISBLANK('Original Dataset'!L60),$Z$3,'Original Dataset'!L60)</f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f>IF(ISBLANK('Original Dataset'!J61),$Z$2,'Original Dataset'!J61)</f>
        <v>13.59</v>
      </c>
      <c r="K61">
        <v>0</v>
      </c>
      <c r="L61">
        <f>IF(ISBLANK('Original Dataset'!L61),$Z$3,'Original Dataset'!L61)</f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f>IF(ISBLANK('Original Dataset'!J62),$Z$2,'Original Dataset'!J62)</f>
        <v>1.02</v>
      </c>
      <c r="K62">
        <v>0</v>
      </c>
      <c r="L62">
        <f>IF(ISBLANK('Original Dataset'!L62),$Z$3,'Original Dataset'!L62)</f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f>IF(ISBLANK('Original Dataset'!J63),$Z$2,'Original Dataset'!J63)</f>
        <v>1.64</v>
      </c>
      <c r="K63">
        <v>0</v>
      </c>
      <c r="L63">
        <f>IF(ISBLANK('Original Dataset'!L63),$Z$3,'Original Dataset'!L63)</f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f>IF(ISBLANK('Original Dataset'!J64),$Z$2,'Original Dataset'!J64)</f>
        <v>5.15</v>
      </c>
      <c r="K64">
        <v>0</v>
      </c>
      <c r="L64">
        <f>IF(ISBLANK('Original Dataset'!L64),$Z$3,'Original Dataset'!L64)</f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f>IF(ISBLANK('Original Dataset'!J65),$Z$2,'Original Dataset'!J65)</f>
        <v>1.1100000000000001</v>
      </c>
      <c r="K65">
        <v>0</v>
      </c>
      <c r="L65">
        <f>IF(ISBLANK('Original Dataset'!L65),$Z$3,'Original Dataset'!L65)</f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f>IF(ISBLANK('Original Dataset'!J66),$Z$2,'Original Dataset'!J66)</f>
        <v>6.08</v>
      </c>
      <c r="K66">
        <v>1</v>
      </c>
      <c r="L66">
        <f>IF(ISBLANK('Original Dataset'!L66),$Z$3,'Original Dataset'!L66)</f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f>IF(ISBLANK('Original Dataset'!J67),$Z$2,'Original Dataset'!J67)</f>
        <v>10.91</v>
      </c>
      <c r="K67">
        <v>0</v>
      </c>
      <c r="L67">
        <f>IF(ISBLANK('Original Dataset'!L67),$Z$3,'Original Dataset'!L67)</f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f>IF(ISBLANK('Original Dataset'!J68),$Z$2,'Original Dataset'!J68)</f>
        <v>19.010000000000002</v>
      </c>
      <c r="K68">
        <v>1</v>
      </c>
      <c r="L68">
        <f>IF(ISBLANK('Original Dataset'!L68),$Z$3,'Original Dataset'!L68)</f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f>IF(ISBLANK('Original Dataset'!J69),$Z$2,'Original Dataset'!J69)</f>
        <v>0.77</v>
      </c>
      <c r="K69">
        <v>0</v>
      </c>
      <c r="L69">
        <f>IF(ISBLANK('Original Dataset'!L69),$Z$3,'Original Dataset'!L69)</f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f>IF(ISBLANK('Original Dataset'!J70),$Z$2,'Original Dataset'!J70)</f>
        <v>2.83</v>
      </c>
      <c r="K70">
        <v>1</v>
      </c>
      <c r="L70">
        <f>IF(ISBLANK('Original Dataset'!L70),$Z$3,'Original Dataset'!L70)</f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f>IF(ISBLANK('Original Dataset'!J71),$Z$2,'Original Dataset'!J71)</f>
        <v>2.33</v>
      </c>
      <c r="K71">
        <v>0</v>
      </c>
      <c r="L71">
        <f>IF(ISBLANK('Original Dataset'!L71),$Z$3,'Original Dataset'!L71)</f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f>IF(ISBLANK('Original Dataset'!J72),$Z$2,'Original Dataset'!J72)</f>
        <v>1.43</v>
      </c>
      <c r="K72">
        <v>0</v>
      </c>
      <c r="L72">
        <f>IF(ISBLANK('Original Dataset'!L72),$Z$3,'Original Dataset'!L72)</f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f>IF(ISBLANK('Original Dataset'!J73),$Z$2,'Original Dataset'!J73)</f>
        <v>3.3650000000000002</v>
      </c>
      <c r="K73">
        <v>0</v>
      </c>
      <c r="L73">
        <f>IF(ISBLANK('Original Dataset'!L73),$Z$3,'Original Dataset'!L73)</f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f>IF(ISBLANK('Original Dataset'!J74),$Z$2,'Original Dataset'!J74)</f>
        <v>4.91</v>
      </c>
      <c r="K74">
        <v>0</v>
      </c>
      <c r="L74">
        <f>IF(ISBLANK('Original Dataset'!L74),$Z$3,'Original Dataset'!L74)</f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f>IF(ISBLANK('Original Dataset'!J75),$Z$2,'Original Dataset'!J75)</f>
        <v>7.03</v>
      </c>
      <c r="K75">
        <v>0</v>
      </c>
      <c r="L75">
        <f>IF(ISBLANK('Original Dataset'!L75),$Z$3,'Original Dataset'!L75)</f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f>IF(ISBLANK('Original Dataset'!J76),$Z$2,'Original Dataset'!J76)</f>
        <v>0.28000000000000003</v>
      </c>
      <c r="K76">
        <v>1</v>
      </c>
      <c r="L76">
        <f>IF(ISBLANK('Original Dataset'!L76),$Z$3,'Original Dataset'!L76)</f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f>IF(ISBLANK('Original Dataset'!J77),$Z$2,'Original Dataset'!J77)</f>
        <v>3.61</v>
      </c>
      <c r="K77">
        <v>0</v>
      </c>
      <c r="L77">
        <f>IF(ISBLANK('Original Dataset'!L77),$Z$3,'Original Dataset'!L77)</f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f>IF(ISBLANK('Original Dataset'!J78),$Z$2,'Original Dataset'!J78)</f>
        <v>7.52</v>
      </c>
      <c r="K78">
        <v>1</v>
      </c>
      <c r="L78">
        <f>IF(ISBLANK('Original Dataset'!L78),$Z$3,'Original Dataset'!L78)</f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f>IF(ISBLANK('Original Dataset'!J79),$Z$2,'Original Dataset'!J79)</f>
        <v>2.58</v>
      </c>
      <c r="K79">
        <v>0</v>
      </c>
      <c r="L79">
        <f>IF(ISBLANK('Original Dataset'!L79),$Z$3,'Original Dataset'!L79)</f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f>IF(ISBLANK('Original Dataset'!J80),$Z$2,'Original Dataset'!J80)</f>
        <v>2.29</v>
      </c>
      <c r="K80">
        <v>0</v>
      </c>
      <c r="L80">
        <f>IF(ISBLANK('Original Dataset'!L80),$Z$3,'Original Dataset'!L80)</f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f>IF(ISBLANK('Original Dataset'!J81),$Z$2,'Original Dataset'!J81)</f>
        <v>2.39</v>
      </c>
      <c r="K81">
        <v>0</v>
      </c>
      <c r="L81">
        <f>IF(ISBLANK('Original Dataset'!L81),$Z$3,'Original Dataset'!L81)</f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f>IF(ISBLANK('Original Dataset'!J82),$Z$2,'Original Dataset'!J82)</f>
        <v>5.24</v>
      </c>
      <c r="K82">
        <v>0</v>
      </c>
      <c r="L82">
        <f>IF(ISBLANK('Original Dataset'!L82),$Z$3,'Original Dataset'!L82)</f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f>IF(ISBLANK('Original Dataset'!J83),$Z$2,'Original Dataset'!J83)</f>
        <v>3.17</v>
      </c>
      <c r="K83">
        <v>0</v>
      </c>
      <c r="L83">
        <f>IF(ISBLANK('Original Dataset'!L83),$Z$3,'Original Dataset'!L83)</f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f>IF(ISBLANK('Original Dataset'!J84),$Z$2,'Original Dataset'!J84)</f>
        <v>2.66</v>
      </c>
      <c r="K84">
        <v>0</v>
      </c>
      <c r="L84">
        <f>IF(ISBLANK('Original Dataset'!L84),$Z$3,'Original Dataset'!L84)</f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f>IF(ISBLANK('Original Dataset'!J85),$Z$2,'Original Dataset'!J85)</f>
        <v>1.41</v>
      </c>
      <c r="K85">
        <v>0</v>
      </c>
      <c r="L85">
        <f>IF(ISBLANK('Original Dataset'!L85),$Z$3,'Original Dataset'!L85)</f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f>IF(ISBLANK('Original Dataset'!J86),$Z$2,'Original Dataset'!J86)</f>
        <v>7.34</v>
      </c>
      <c r="K86">
        <v>0</v>
      </c>
      <c r="L86">
        <f>IF(ISBLANK('Original Dataset'!L86),$Z$3,'Original Dataset'!L86)</f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f>IF(ISBLANK('Original Dataset'!J87),$Z$2,'Original Dataset'!J87)</f>
        <v>5.95</v>
      </c>
      <c r="K87">
        <v>0</v>
      </c>
      <c r="L87" s="4">
        <f>IF(ISBLANK('Original Dataset'!L87),$Z$3,'Original Dataset'!L87)</f>
        <v>3.9246794871794881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f>IF(ISBLANK('Original Dataset'!J88),$Z$2,'Original Dataset'!J88)</f>
        <v>15.51</v>
      </c>
      <c r="K88">
        <v>0</v>
      </c>
      <c r="L88">
        <f>IF(ISBLANK('Original Dataset'!L88),$Z$3,'Original Dataset'!L88)</f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f>IF(ISBLANK('Original Dataset'!J89),$Z$2,'Original Dataset'!J89)</f>
        <v>4.3099999999999996</v>
      </c>
      <c r="K89">
        <v>0</v>
      </c>
      <c r="L89">
        <f>IF(ISBLANK('Original Dataset'!L89),$Z$3,'Original Dataset'!L89)</f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f>IF(ISBLANK('Original Dataset'!J90),$Z$2,'Original Dataset'!J90)</f>
        <v>6.61</v>
      </c>
      <c r="K90">
        <v>1</v>
      </c>
      <c r="L90">
        <f>IF(ISBLANK('Original Dataset'!L90),$Z$3,'Original Dataset'!L90)</f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f>IF(ISBLANK('Original Dataset'!J91),$Z$2,'Original Dataset'!J91)</f>
        <v>4.26</v>
      </c>
      <c r="K91">
        <v>0</v>
      </c>
      <c r="L91">
        <f>IF(ISBLANK('Original Dataset'!L91),$Z$3,'Original Dataset'!L91)</f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f>IF(ISBLANK('Original Dataset'!J92),$Z$2,'Original Dataset'!J92)</f>
        <v>5.75</v>
      </c>
      <c r="K92">
        <v>0</v>
      </c>
      <c r="L92">
        <f>IF(ISBLANK('Original Dataset'!L92),$Z$3,'Original Dataset'!L92)</f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f>IF(ISBLANK('Original Dataset'!J93),$Z$2,'Original Dataset'!J93)</f>
        <v>0.33</v>
      </c>
      <c r="K93">
        <v>0</v>
      </c>
      <c r="L93">
        <f>IF(ISBLANK('Original Dataset'!L93),$Z$3,'Original Dataset'!L93)</f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f>IF(ISBLANK('Original Dataset'!J94),$Z$2,'Original Dataset'!J94)</f>
        <v>2.92</v>
      </c>
      <c r="K94">
        <v>0</v>
      </c>
      <c r="L94">
        <f>IF(ISBLANK('Original Dataset'!L94),$Z$3,'Original Dataset'!L94)</f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f>IF(ISBLANK('Original Dataset'!J95),$Z$2,'Original Dataset'!J95)</f>
        <v>1.64</v>
      </c>
      <c r="K95">
        <v>0</v>
      </c>
      <c r="L95">
        <f>IF(ISBLANK('Original Dataset'!L95),$Z$3,'Original Dataset'!L95)</f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f>IF(ISBLANK('Original Dataset'!J96),$Z$2,'Original Dataset'!J96)</f>
        <v>0.8</v>
      </c>
      <c r="K96">
        <v>0</v>
      </c>
      <c r="L96">
        <f>IF(ISBLANK('Original Dataset'!L96),$Z$3,'Original Dataset'!L96)</f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f>IF(ISBLANK('Original Dataset'!J97),$Z$2,'Original Dataset'!J97)</f>
        <v>5.79</v>
      </c>
      <c r="K97">
        <v>0</v>
      </c>
      <c r="L97">
        <f>IF(ISBLANK('Original Dataset'!L97),$Z$3,'Original Dataset'!L97)</f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f>IF(ISBLANK('Original Dataset'!J98),$Z$2,'Original Dataset'!J98)</f>
        <v>19.600000000000001</v>
      </c>
      <c r="K98">
        <v>0</v>
      </c>
      <c r="L98">
        <f>IF(ISBLANK('Original Dataset'!L98),$Z$3,'Original Dataset'!L98)</f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f>IF(ISBLANK('Original Dataset'!J99),$Z$2,'Original Dataset'!J99)</f>
        <v>7.57</v>
      </c>
      <c r="K99">
        <v>0</v>
      </c>
      <c r="L99">
        <f>IF(ISBLANK('Original Dataset'!L99),$Z$3,'Original Dataset'!L99)</f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f>IF(ISBLANK('Original Dataset'!J100),$Z$2,'Original Dataset'!J100)</f>
        <v>3.3650000000000002</v>
      </c>
      <c r="K100">
        <v>0</v>
      </c>
      <c r="L100">
        <f>IF(ISBLANK('Original Dataset'!L100),$Z$3,'Original Dataset'!L100)</f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f>IF(ISBLANK('Original Dataset'!J101),$Z$2,'Original Dataset'!J101)</f>
        <v>2.7</v>
      </c>
      <c r="K101">
        <v>0</v>
      </c>
      <c r="L101">
        <f>IF(ISBLANK('Original Dataset'!L101),$Z$3,'Original Dataset'!L101)</f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f>IF(ISBLANK('Original Dataset'!J102),$Z$2,'Original Dataset'!J102)</f>
        <v>0.2</v>
      </c>
      <c r="K102">
        <v>0</v>
      </c>
      <c r="L102">
        <f>IF(ISBLANK('Original Dataset'!L102),$Z$3,'Original Dataset'!L102)</f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f>IF(ISBLANK('Original Dataset'!J103),$Z$2,'Original Dataset'!J103)</f>
        <v>7.87</v>
      </c>
      <c r="K103">
        <v>0</v>
      </c>
      <c r="L103">
        <f>IF(ISBLANK('Original Dataset'!L103),$Z$3,'Original Dataset'!L103)</f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f>IF(ISBLANK('Original Dataset'!J104),$Z$2,'Original Dataset'!J104)</f>
        <v>0.77</v>
      </c>
      <c r="K104">
        <v>1</v>
      </c>
      <c r="L104">
        <f>IF(ISBLANK('Original Dataset'!L104),$Z$3,'Original Dataset'!L104)</f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f>IF(ISBLANK('Original Dataset'!J105),$Z$2,'Original Dataset'!J105)</f>
        <v>1.48</v>
      </c>
      <c r="K105">
        <v>0</v>
      </c>
      <c r="L105">
        <f>IF(ISBLANK('Original Dataset'!L105),$Z$3,'Original Dataset'!L105)</f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f>IF(ISBLANK('Original Dataset'!J106),$Z$2,'Original Dataset'!J106)</f>
        <v>2.87</v>
      </c>
      <c r="K106">
        <v>0</v>
      </c>
      <c r="L106">
        <f>IF(ISBLANK('Original Dataset'!L106),$Z$3,'Original Dataset'!L106)</f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f>IF(ISBLANK('Original Dataset'!J107),$Z$2,'Original Dataset'!J107)</f>
        <v>2.83</v>
      </c>
      <c r="K107">
        <v>0</v>
      </c>
      <c r="L107">
        <f>IF(ISBLANK('Original Dataset'!L107),$Z$3,'Original Dataset'!L107)</f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f>IF(ISBLANK('Original Dataset'!J108),$Z$2,'Original Dataset'!J108)</f>
        <v>0.25</v>
      </c>
      <c r="K108">
        <v>0</v>
      </c>
      <c r="L108">
        <f>IF(ISBLANK('Original Dataset'!L108),$Z$3,'Original Dataset'!L108)</f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f>IF(ISBLANK('Original Dataset'!J109),$Z$2,'Original Dataset'!J109)</f>
        <v>13.33</v>
      </c>
      <c r="K109">
        <v>0</v>
      </c>
      <c r="L109">
        <f>IF(ISBLANK('Original Dataset'!L109),$Z$3,'Original Dataset'!L109)</f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f>IF(ISBLANK('Original Dataset'!J110),$Z$2,'Original Dataset'!J110)</f>
        <v>6.35</v>
      </c>
      <c r="K110">
        <v>1</v>
      </c>
      <c r="L110">
        <f>IF(ISBLANK('Original Dataset'!L110),$Z$3,'Original Dataset'!L110)</f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f>IF(ISBLANK('Original Dataset'!J111),$Z$2,'Original Dataset'!J111)</f>
        <v>6.69</v>
      </c>
      <c r="K111">
        <v>0</v>
      </c>
      <c r="L111">
        <f>IF(ISBLANK('Original Dataset'!L111),$Z$3,'Original Dataset'!L111)</f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f>IF(ISBLANK('Original Dataset'!J112),$Z$2,'Original Dataset'!J112)</f>
        <v>1.28</v>
      </c>
      <c r="K112">
        <v>0</v>
      </c>
      <c r="L112">
        <f>IF(ISBLANK('Original Dataset'!L112),$Z$3,'Original Dataset'!L112)</f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f>IF(ISBLANK('Original Dataset'!J113),$Z$2,'Original Dataset'!J113)</f>
        <v>0.92</v>
      </c>
      <c r="K113">
        <v>0</v>
      </c>
      <c r="L113">
        <f>IF(ISBLANK('Original Dataset'!L113),$Z$3,'Original Dataset'!L113)</f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f>IF(ISBLANK('Original Dataset'!J114),$Z$2,'Original Dataset'!J114)</f>
        <v>1.05</v>
      </c>
      <c r="K114">
        <v>0</v>
      </c>
      <c r="L114">
        <f>IF(ISBLANK('Original Dataset'!L114),$Z$3,'Original Dataset'!L114)</f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f>IF(ISBLANK('Original Dataset'!J115),$Z$2,'Original Dataset'!J115)</f>
        <v>2.67</v>
      </c>
      <c r="K115">
        <v>0</v>
      </c>
      <c r="L115">
        <f>IF(ISBLANK('Original Dataset'!L115),$Z$3,'Original Dataset'!L115)</f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f>IF(ISBLANK('Original Dataset'!J116),$Z$2,'Original Dataset'!J116)</f>
        <v>5.91</v>
      </c>
      <c r="K116">
        <v>0</v>
      </c>
      <c r="L116">
        <f>IF(ISBLANK('Original Dataset'!L116),$Z$3,'Original Dataset'!L116)</f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f>IF(ISBLANK('Original Dataset'!J117),$Z$2,'Original Dataset'!J117)</f>
        <v>6.37</v>
      </c>
      <c r="K117">
        <v>0</v>
      </c>
      <c r="L117">
        <f>IF(ISBLANK('Original Dataset'!L117),$Z$3,'Original Dataset'!L117)</f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f>IF(ISBLANK('Original Dataset'!J118),$Z$2,'Original Dataset'!J118)</f>
        <v>2.4900000000000002</v>
      </c>
      <c r="K118">
        <v>1</v>
      </c>
      <c r="L118">
        <f>IF(ISBLANK('Original Dataset'!L118),$Z$3,'Original Dataset'!L118)</f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f>IF(ISBLANK('Original Dataset'!J119),$Z$2,'Original Dataset'!J119)</f>
        <v>1.56</v>
      </c>
      <c r="K119">
        <v>0</v>
      </c>
      <c r="L119">
        <f>IF(ISBLANK('Original Dataset'!L119),$Z$3,'Original Dataset'!L119)</f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f>IF(ISBLANK('Original Dataset'!J120),$Z$2,'Original Dataset'!J120)</f>
        <v>14.95</v>
      </c>
      <c r="K120">
        <v>0</v>
      </c>
      <c r="L120">
        <f>IF(ISBLANK('Original Dataset'!L120),$Z$3,'Original Dataset'!L120)</f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f>IF(ISBLANK('Original Dataset'!J121),$Z$2,'Original Dataset'!J121)</f>
        <v>7.85</v>
      </c>
      <c r="K121">
        <v>0</v>
      </c>
      <c r="L121">
        <f>IF(ISBLANK('Original Dataset'!L121),$Z$3,'Original Dataset'!L121)</f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f>IF(ISBLANK('Original Dataset'!J122),$Z$2,'Original Dataset'!J122)</f>
        <v>6.8</v>
      </c>
      <c r="K122">
        <v>0</v>
      </c>
      <c r="L122">
        <f>IF(ISBLANK('Original Dataset'!L122),$Z$3,'Original Dataset'!L122)</f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f>IF(ISBLANK('Original Dataset'!J123),$Z$2,'Original Dataset'!J123)</f>
        <v>2.2000000000000002</v>
      </c>
      <c r="K123">
        <v>0</v>
      </c>
      <c r="L123">
        <f>IF(ISBLANK('Original Dataset'!L123),$Z$3,'Original Dataset'!L123)</f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f>IF(ISBLANK('Original Dataset'!J124),$Z$2,'Original Dataset'!J124)</f>
        <v>1.88</v>
      </c>
      <c r="K124">
        <v>0</v>
      </c>
      <c r="L124">
        <f>IF(ISBLANK('Original Dataset'!L124),$Z$3,'Original Dataset'!L124)</f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f>IF(ISBLANK('Original Dataset'!J125),$Z$2,'Original Dataset'!J125)</f>
        <v>15.79</v>
      </c>
      <c r="K125">
        <v>0</v>
      </c>
      <c r="L125">
        <f>IF(ISBLANK('Original Dataset'!L125),$Z$3,'Original Dataset'!L125)</f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f>IF(ISBLANK('Original Dataset'!J126),$Z$2,'Original Dataset'!J126)</f>
        <v>2.34</v>
      </c>
      <c r="K126">
        <v>1</v>
      </c>
      <c r="L126">
        <f>IF(ISBLANK('Original Dataset'!L126),$Z$3,'Original Dataset'!L126)</f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f>IF(ISBLANK('Original Dataset'!J127),$Z$2,'Original Dataset'!J127)</f>
        <v>0.54</v>
      </c>
      <c r="K127">
        <v>0</v>
      </c>
      <c r="L127">
        <f>IF(ISBLANK('Original Dataset'!L127),$Z$3,'Original Dataset'!L127)</f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f>IF(ISBLANK('Original Dataset'!J128),$Z$2,'Original Dataset'!J128)</f>
        <v>5.37</v>
      </c>
      <c r="K128">
        <v>1</v>
      </c>
      <c r="L128">
        <f>IF(ISBLANK('Original Dataset'!L128),$Z$3,'Original Dataset'!L128)</f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f>IF(ISBLANK('Original Dataset'!J129),$Z$2,'Original Dataset'!J129)</f>
        <v>3.19</v>
      </c>
      <c r="K129">
        <v>0</v>
      </c>
      <c r="L129">
        <f>IF(ISBLANK('Original Dataset'!L129),$Z$3,'Original Dataset'!L129)</f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f>IF(ISBLANK('Original Dataset'!J130),$Z$2,'Original Dataset'!J130)</f>
        <v>1.1000000000000001</v>
      </c>
      <c r="K130">
        <v>1</v>
      </c>
      <c r="L130">
        <f>IF(ISBLANK('Original Dataset'!L130),$Z$3,'Original Dataset'!L130)</f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f>IF(ISBLANK('Original Dataset'!J131),$Z$2,'Original Dataset'!J131)</f>
        <v>0.21</v>
      </c>
      <c r="K131">
        <v>0</v>
      </c>
      <c r="L131">
        <f>IF(ISBLANK('Original Dataset'!L131),$Z$3,'Original Dataset'!L131)</f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f>IF(ISBLANK('Original Dataset'!J132),$Z$2,'Original Dataset'!J132)</f>
        <v>5.12</v>
      </c>
      <c r="K132">
        <v>1</v>
      </c>
      <c r="L132">
        <f>IF(ISBLANK('Original Dataset'!L132),$Z$3,'Original Dataset'!L132)</f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f>IF(ISBLANK('Original Dataset'!J133),$Z$2,'Original Dataset'!J133)</f>
        <v>9.77</v>
      </c>
      <c r="K133">
        <v>0</v>
      </c>
      <c r="L133">
        <f>IF(ISBLANK('Original Dataset'!L133),$Z$3,'Original Dataset'!L133)</f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f>IF(ISBLANK('Original Dataset'!J134),$Z$2,'Original Dataset'!J134)</f>
        <v>3.77</v>
      </c>
      <c r="K134">
        <v>0</v>
      </c>
      <c r="L134">
        <f>IF(ISBLANK('Original Dataset'!L134),$Z$3,'Original Dataset'!L134)</f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f>IF(ISBLANK('Original Dataset'!J135),$Z$2,'Original Dataset'!J135)</f>
        <v>0.78</v>
      </c>
      <c r="K135">
        <v>0</v>
      </c>
      <c r="L135" s="4">
        <f>IF(ISBLANK('Original Dataset'!L135),$Z$3,'Original Dataset'!L135)</f>
        <v>3.9246794871794881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f>IF(ISBLANK('Original Dataset'!J136),$Z$2,'Original Dataset'!J136)</f>
        <v>5.17</v>
      </c>
      <c r="K136">
        <v>1</v>
      </c>
      <c r="L136">
        <f>IF(ISBLANK('Original Dataset'!L136),$Z$3,'Original Dataset'!L136)</f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f>IF(ISBLANK('Original Dataset'!J137),$Z$2,'Original Dataset'!J137)</f>
        <v>3.2</v>
      </c>
      <c r="K137">
        <v>0</v>
      </c>
      <c r="L137">
        <f>IF(ISBLANK('Original Dataset'!L137),$Z$3,'Original Dataset'!L137)</f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f>IF(ISBLANK('Original Dataset'!J138),$Z$2,'Original Dataset'!J138)</f>
        <v>3.4</v>
      </c>
      <c r="K138">
        <v>0</v>
      </c>
      <c r="L138" s="4">
        <f>IF(ISBLANK('Original Dataset'!L138),$Z$3,'Original Dataset'!L138)</f>
        <v>3.9246794871794881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f>IF(ISBLANK('Original Dataset'!J139),$Z$2,'Original Dataset'!J139)</f>
        <v>7.38</v>
      </c>
      <c r="K139">
        <v>0</v>
      </c>
      <c r="L139">
        <f>IF(ISBLANK('Original Dataset'!L139),$Z$3,'Original Dataset'!L139)</f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f>IF(ISBLANK('Original Dataset'!J140),$Z$2,'Original Dataset'!J140)</f>
        <v>0.85</v>
      </c>
      <c r="K140">
        <v>1</v>
      </c>
      <c r="L140">
        <f>IF(ISBLANK('Original Dataset'!L140),$Z$3,'Original Dataset'!L140)</f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f>IF(ISBLANK('Original Dataset'!J141),$Z$2,'Original Dataset'!J141)</f>
        <v>2.89</v>
      </c>
      <c r="K141">
        <v>0</v>
      </c>
      <c r="L141">
        <f>IF(ISBLANK('Original Dataset'!L141),$Z$3,'Original Dataset'!L141)</f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f>IF(ISBLANK('Original Dataset'!J142),$Z$2,'Original Dataset'!J142)</f>
        <v>0.77</v>
      </c>
      <c r="K142">
        <v>0</v>
      </c>
      <c r="L142">
        <f>IF(ISBLANK('Original Dataset'!L142),$Z$3,'Original Dataset'!L142)</f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f>IF(ISBLANK('Original Dataset'!J143),$Z$2,'Original Dataset'!J143)</f>
        <v>2.92</v>
      </c>
      <c r="K143">
        <v>0</v>
      </c>
      <c r="L143">
        <f>IF(ISBLANK('Original Dataset'!L143),$Z$3,'Original Dataset'!L143)</f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f>IF(ISBLANK('Original Dataset'!J144),$Z$2,'Original Dataset'!J144)</f>
        <v>3.07</v>
      </c>
      <c r="K144">
        <v>0</v>
      </c>
      <c r="L144">
        <f>IF(ISBLANK('Original Dataset'!L144),$Z$3,'Original Dataset'!L144)</f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f>IF(ISBLANK('Original Dataset'!J145),$Z$2,'Original Dataset'!J145)</f>
        <v>9.6999999999999993</v>
      </c>
      <c r="K145">
        <v>0</v>
      </c>
      <c r="L145">
        <f>IF(ISBLANK('Original Dataset'!L145),$Z$3,'Original Dataset'!L145)</f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f>IF(ISBLANK('Original Dataset'!J146),$Z$2,'Original Dataset'!J146)</f>
        <v>3.71</v>
      </c>
      <c r="K146">
        <v>0</v>
      </c>
      <c r="L146">
        <f>IF(ISBLANK('Original Dataset'!L146),$Z$3,'Original Dataset'!L146)</f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f>IF(ISBLANK('Original Dataset'!J147),$Z$2,'Original Dataset'!J147)</f>
        <v>10.79</v>
      </c>
      <c r="K147">
        <v>0</v>
      </c>
      <c r="L147">
        <f>IF(ISBLANK('Original Dataset'!L147),$Z$3,'Original Dataset'!L147)</f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f>IF(ISBLANK('Original Dataset'!J148),$Z$2,'Original Dataset'!J148)</f>
        <v>6.03</v>
      </c>
      <c r="K148">
        <v>0</v>
      </c>
      <c r="L148">
        <f>IF(ISBLANK('Original Dataset'!L148),$Z$3,'Original Dataset'!L148)</f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f>IF(ISBLANK('Original Dataset'!J149),$Z$2,'Original Dataset'!J149)</f>
        <v>4.92</v>
      </c>
      <c r="K149">
        <v>0</v>
      </c>
      <c r="L149">
        <f>IF(ISBLANK('Original Dataset'!L149),$Z$3,'Original Dataset'!L149)</f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f>IF(ISBLANK('Original Dataset'!J150),$Z$2,'Original Dataset'!J150)</f>
        <v>19.78</v>
      </c>
      <c r="K150">
        <v>0</v>
      </c>
      <c r="L150">
        <f>IF(ISBLANK('Original Dataset'!L150),$Z$3,'Original Dataset'!L150)</f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f>IF(ISBLANK('Original Dataset'!J151),$Z$2,'Original Dataset'!J151)</f>
        <v>5.45</v>
      </c>
      <c r="K151">
        <v>0</v>
      </c>
      <c r="L151">
        <f>IF(ISBLANK('Original Dataset'!L151),$Z$3,'Original Dataset'!L151)</f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f>IF(ISBLANK('Original Dataset'!J152),$Z$2,'Original Dataset'!J152)</f>
        <v>2.33</v>
      </c>
      <c r="K152">
        <v>1</v>
      </c>
      <c r="L152">
        <f>IF(ISBLANK('Original Dataset'!L152),$Z$3,'Original Dataset'!L152)</f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f>IF(ISBLANK('Original Dataset'!J153),$Z$2,'Original Dataset'!J153)</f>
        <v>3.55</v>
      </c>
      <c r="K153">
        <v>0</v>
      </c>
      <c r="L153">
        <f>IF(ISBLANK('Original Dataset'!L153),$Z$3,'Original Dataset'!L153)</f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f>IF(ISBLANK('Original Dataset'!J154),$Z$2,'Original Dataset'!J154)</f>
        <v>0.2</v>
      </c>
      <c r="K154">
        <v>0</v>
      </c>
      <c r="L154">
        <f>IF(ISBLANK('Original Dataset'!L154),$Z$3,'Original Dataset'!L154)</f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f>IF(ISBLANK('Original Dataset'!J155),$Z$2,'Original Dataset'!J155)</f>
        <v>2.09</v>
      </c>
      <c r="K155">
        <v>0</v>
      </c>
      <c r="L155">
        <f>IF(ISBLANK('Original Dataset'!L155),$Z$3,'Original Dataset'!L155)</f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f>IF(ISBLANK('Original Dataset'!J156),$Z$2,'Original Dataset'!J156)</f>
        <v>2.2599999999999998</v>
      </c>
      <c r="K156">
        <v>0</v>
      </c>
      <c r="L156">
        <f>IF(ISBLANK('Original Dataset'!L156),$Z$3,'Original Dataset'!L156)</f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f>IF(ISBLANK('Original Dataset'!J157),$Z$2,'Original Dataset'!J157)</f>
        <v>0.44</v>
      </c>
      <c r="K157">
        <v>0</v>
      </c>
      <c r="L157">
        <f>IF(ISBLANK('Original Dataset'!L157),$Z$3,'Original Dataset'!L157)</f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f>IF(ISBLANK('Original Dataset'!J158),$Z$2,'Original Dataset'!J158)</f>
        <v>3.08</v>
      </c>
      <c r="K158">
        <v>0</v>
      </c>
      <c r="L158">
        <f>IF(ISBLANK('Original Dataset'!L158),$Z$3,'Original Dataset'!L158)</f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f>IF(ISBLANK('Original Dataset'!J159),$Z$2,'Original Dataset'!J159)</f>
        <v>7.99</v>
      </c>
      <c r="K159">
        <v>0</v>
      </c>
      <c r="L159">
        <f>IF(ISBLANK('Original Dataset'!L159),$Z$3,'Original Dataset'!L159)</f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f>IF(ISBLANK('Original Dataset'!J160),$Z$2,'Original Dataset'!J160)</f>
        <v>0.2</v>
      </c>
      <c r="K160">
        <v>0</v>
      </c>
      <c r="L160">
        <f>IF(ISBLANK('Original Dataset'!L160),$Z$3,'Original Dataset'!L160)</f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f>IF(ISBLANK('Original Dataset'!J161),$Z$2,'Original Dataset'!J161)</f>
        <v>5.46</v>
      </c>
      <c r="K161">
        <v>0</v>
      </c>
      <c r="L161">
        <f>IF(ISBLANK('Original Dataset'!L161),$Z$3,'Original Dataset'!L161)</f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f>IF(ISBLANK('Original Dataset'!J162),$Z$2,'Original Dataset'!J162)</f>
        <v>4.05</v>
      </c>
      <c r="K162">
        <v>0</v>
      </c>
      <c r="L162">
        <f>IF(ISBLANK('Original Dataset'!L162),$Z$3,'Original Dataset'!L162)</f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f>IF(ISBLANK('Original Dataset'!J163),$Z$2,'Original Dataset'!J163)</f>
        <v>4.3600000000000003</v>
      </c>
      <c r="K163">
        <v>0</v>
      </c>
      <c r="L163">
        <f>IF(ISBLANK('Original Dataset'!L163),$Z$3,'Original Dataset'!L163)</f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f>IF(ISBLANK('Original Dataset'!J164),$Z$2,'Original Dataset'!J164)</f>
        <v>3.3650000000000002</v>
      </c>
      <c r="K164">
        <v>0</v>
      </c>
      <c r="L164">
        <f>IF(ISBLANK('Original Dataset'!L164),$Z$3,'Original Dataset'!L164)</f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f>IF(ISBLANK('Original Dataset'!J165),$Z$2,'Original Dataset'!J165)</f>
        <v>0.54</v>
      </c>
      <c r="K165">
        <v>0</v>
      </c>
      <c r="L165">
        <f>IF(ISBLANK('Original Dataset'!L165),$Z$3,'Original Dataset'!L165)</f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f>IF(ISBLANK('Original Dataset'!J166),$Z$2,'Original Dataset'!J166)</f>
        <v>11.37</v>
      </c>
      <c r="K166">
        <v>1</v>
      </c>
      <c r="L166">
        <f>IF(ISBLANK('Original Dataset'!L166),$Z$3,'Original Dataset'!L166)</f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f>IF(ISBLANK('Original Dataset'!J167),$Z$2,'Original Dataset'!J167)</f>
        <v>9.43</v>
      </c>
      <c r="K167">
        <v>0</v>
      </c>
      <c r="L167">
        <f>IF(ISBLANK('Original Dataset'!L167),$Z$3,'Original Dataset'!L167)</f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f>IF(ISBLANK('Original Dataset'!J168),$Z$2,'Original Dataset'!J168)</f>
        <v>3.49</v>
      </c>
      <c r="K168">
        <v>0</v>
      </c>
      <c r="L168">
        <f>IF(ISBLANK('Original Dataset'!L168),$Z$3,'Original Dataset'!L168)</f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f>IF(ISBLANK('Original Dataset'!J169),$Z$2,'Original Dataset'!J169)</f>
        <v>7.86</v>
      </c>
      <c r="K169">
        <v>0</v>
      </c>
      <c r="L169">
        <f>IF(ISBLANK('Original Dataset'!L169),$Z$3,'Original Dataset'!L169)</f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f>IF(ISBLANK('Original Dataset'!J170),$Z$2,'Original Dataset'!J170)</f>
        <v>12.55</v>
      </c>
      <c r="K170">
        <v>0</v>
      </c>
      <c r="L170">
        <f>IF(ISBLANK('Original Dataset'!L170),$Z$3,'Original Dataset'!L170)</f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f>IF(ISBLANK('Original Dataset'!J171),$Z$2,'Original Dataset'!J171)</f>
        <v>3.48</v>
      </c>
      <c r="K171">
        <v>0</v>
      </c>
      <c r="L171">
        <f>IF(ISBLANK('Original Dataset'!L171),$Z$3,'Original Dataset'!L171)</f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f>IF(ISBLANK('Original Dataset'!J172),$Z$2,'Original Dataset'!J172)</f>
        <v>7.73</v>
      </c>
      <c r="K172">
        <v>0</v>
      </c>
      <c r="L172">
        <f>IF(ISBLANK('Original Dataset'!L172),$Z$3,'Original Dataset'!L172)</f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f>IF(ISBLANK('Original Dataset'!J173),$Z$2,'Original Dataset'!J173)</f>
        <v>0.25</v>
      </c>
      <c r="K173">
        <v>0</v>
      </c>
      <c r="L173">
        <f>IF(ISBLANK('Original Dataset'!L173),$Z$3,'Original Dataset'!L173)</f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f>IF(ISBLANK('Original Dataset'!J174),$Z$2,'Original Dataset'!J174)</f>
        <v>6.43</v>
      </c>
      <c r="K174">
        <v>0</v>
      </c>
      <c r="L174">
        <f>IF(ISBLANK('Original Dataset'!L174),$Z$3,'Original Dataset'!L174)</f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f>IF(ISBLANK('Original Dataset'!J175),$Z$2,'Original Dataset'!J175)</f>
        <v>2.11</v>
      </c>
      <c r="K175">
        <v>0</v>
      </c>
      <c r="L175">
        <f>IF(ISBLANK('Original Dataset'!L175),$Z$3,'Original Dataset'!L175)</f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f>IF(ISBLANK('Original Dataset'!J176),$Z$2,'Original Dataset'!J176)</f>
        <v>9.1199999999999992</v>
      </c>
      <c r="K176">
        <v>0</v>
      </c>
      <c r="L176">
        <f>IF(ISBLANK('Original Dataset'!L176),$Z$3,'Original Dataset'!L176)</f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f>IF(ISBLANK('Original Dataset'!J177),$Z$2,'Original Dataset'!J177)</f>
        <v>2.71</v>
      </c>
      <c r="K177">
        <v>0</v>
      </c>
      <c r="L177">
        <f>IF(ISBLANK('Original Dataset'!L177),$Z$3,'Original Dataset'!L177)</f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f>IF(ISBLANK('Original Dataset'!J178),$Z$2,'Original Dataset'!J178)</f>
        <v>3.65</v>
      </c>
      <c r="K178">
        <v>1</v>
      </c>
      <c r="L178">
        <f>IF(ISBLANK('Original Dataset'!L178),$Z$3,'Original Dataset'!L178)</f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f>IF(ISBLANK('Original Dataset'!J179),$Z$2,'Original Dataset'!J179)</f>
        <v>7.86</v>
      </c>
      <c r="K179">
        <v>0</v>
      </c>
      <c r="L179">
        <f>IF(ISBLANK('Original Dataset'!L179),$Z$3,'Original Dataset'!L179)</f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f>IF(ISBLANK('Original Dataset'!J180),$Z$2,'Original Dataset'!J180)</f>
        <v>0.3</v>
      </c>
      <c r="K180">
        <v>0</v>
      </c>
      <c r="L180">
        <f>IF(ISBLANK('Original Dataset'!L180),$Z$3,'Original Dataset'!L180)</f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f>IF(ISBLANK('Original Dataset'!J181),$Z$2,'Original Dataset'!J181)</f>
        <v>8.44</v>
      </c>
      <c r="K181">
        <v>0</v>
      </c>
      <c r="L181">
        <f>IF(ISBLANK('Original Dataset'!L181),$Z$3,'Original Dataset'!L181)</f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f>IF(ISBLANK('Original Dataset'!J182),$Z$2,'Original Dataset'!J182)</f>
        <v>5.27</v>
      </c>
      <c r="K182">
        <v>1</v>
      </c>
      <c r="L182">
        <f>IF(ISBLANK('Original Dataset'!L182),$Z$3,'Original Dataset'!L182)</f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f>IF(ISBLANK('Original Dataset'!J183),$Z$2,'Original Dataset'!J183)</f>
        <v>13.22</v>
      </c>
      <c r="K183">
        <v>0</v>
      </c>
      <c r="L183">
        <f>IF(ISBLANK('Original Dataset'!L183),$Z$3,'Original Dataset'!L183)</f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f>IF(ISBLANK('Original Dataset'!J184),$Z$2,'Original Dataset'!J184)</f>
        <v>1.02</v>
      </c>
      <c r="K184">
        <v>1</v>
      </c>
      <c r="L184">
        <f>IF(ISBLANK('Original Dataset'!L184),$Z$3,'Original Dataset'!L184)</f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f>IF(ISBLANK('Original Dataset'!J185),$Z$2,'Original Dataset'!J185)</f>
        <v>4.03</v>
      </c>
      <c r="K185">
        <v>0</v>
      </c>
      <c r="L185">
        <f>IF(ISBLANK('Original Dataset'!L185),$Z$3,'Original Dataset'!L185)</f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f>IF(ISBLANK('Original Dataset'!J186),$Z$2,'Original Dataset'!J186)</f>
        <v>2.34</v>
      </c>
      <c r="K186">
        <v>0</v>
      </c>
      <c r="L186">
        <f>IF(ISBLANK('Original Dataset'!L186),$Z$3,'Original Dataset'!L186)</f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f>IF(ISBLANK('Original Dataset'!J187),$Z$2,'Original Dataset'!J187)</f>
        <v>8.51</v>
      </c>
      <c r="K187">
        <v>0</v>
      </c>
      <c r="L187">
        <f>IF(ISBLANK('Original Dataset'!L187),$Z$3,'Original Dataset'!L187)</f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f>IF(ISBLANK('Original Dataset'!J188),$Z$2,'Original Dataset'!J188)</f>
        <v>0.48</v>
      </c>
      <c r="K188">
        <v>1</v>
      </c>
      <c r="L188">
        <f>IF(ISBLANK('Original Dataset'!L188),$Z$3,'Original Dataset'!L188)</f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f>IF(ISBLANK('Original Dataset'!J189),$Z$2,'Original Dataset'!J189)</f>
        <v>13.62</v>
      </c>
      <c r="K189">
        <v>0</v>
      </c>
      <c r="L189">
        <f>IF(ISBLANK('Original Dataset'!L189),$Z$3,'Original Dataset'!L189)</f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f>IF(ISBLANK('Original Dataset'!J190),$Z$2,'Original Dataset'!J190)</f>
        <v>7.77</v>
      </c>
      <c r="K190">
        <v>0</v>
      </c>
      <c r="L190">
        <f>IF(ISBLANK('Original Dataset'!L190),$Z$3,'Original Dataset'!L190)</f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f>IF(ISBLANK('Original Dataset'!J191),$Z$2,'Original Dataset'!J191)</f>
        <v>1.99</v>
      </c>
      <c r="K191">
        <v>0</v>
      </c>
      <c r="L191">
        <f>IF(ISBLANK('Original Dataset'!L191),$Z$3,'Original Dataset'!L191)</f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f>IF(ISBLANK('Original Dataset'!J192),$Z$2,'Original Dataset'!J192)</f>
        <v>4.7699999999999996</v>
      </c>
      <c r="K192">
        <v>0</v>
      </c>
      <c r="L192">
        <f>IF(ISBLANK('Original Dataset'!L192),$Z$3,'Original Dataset'!L192)</f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f>IF(ISBLANK('Original Dataset'!J193),$Z$2,'Original Dataset'!J193)</f>
        <v>0.2</v>
      </c>
      <c r="K193">
        <v>0</v>
      </c>
      <c r="L193">
        <f>IF(ISBLANK('Original Dataset'!L193),$Z$3,'Original Dataset'!L193)</f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f>IF(ISBLANK('Original Dataset'!J194),$Z$2,'Original Dataset'!J194)</f>
        <v>0.53</v>
      </c>
      <c r="K194">
        <v>0</v>
      </c>
      <c r="L194">
        <f>IF(ISBLANK('Original Dataset'!L194),$Z$3,'Original Dataset'!L194)</f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f>IF(ISBLANK('Original Dataset'!J195),$Z$2,'Original Dataset'!J195)</f>
        <v>1.54</v>
      </c>
      <c r="K195">
        <v>0</v>
      </c>
      <c r="L195">
        <f>IF(ISBLANK('Original Dataset'!L195),$Z$3,'Original Dataset'!L195)</f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f>IF(ISBLANK('Original Dataset'!J196),$Z$2,'Original Dataset'!J196)</f>
        <v>3.63</v>
      </c>
      <c r="K196">
        <v>0</v>
      </c>
      <c r="L196">
        <f>IF(ISBLANK('Original Dataset'!L196),$Z$3,'Original Dataset'!L196)</f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f>IF(ISBLANK('Original Dataset'!J197),$Z$2,'Original Dataset'!J197)</f>
        <v>13.48</v>
      </c>
      <c r="K197">
        <v>0</v>
      </c>
      <c r="L197" s="4">
        <f>IF(ISBLANK('Original Dataset'!L197),$Z$3,'Original Dataset'!L197)</f>
        <v>3.9246794871794881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f>IF(ISBLANK('Original Dataset'!J198),$Z$2,'Original Dataset'!J198)</f>
        <v>0.2</v>
      </c>
      <c r="K198">
        <v>0</v>
      </c>
      <c r="L198">
        <f>IF(ISBLANK('Original Dataset'!L198),$Z$3,'Original Dataset'!L198)</f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f>IF(ISBLANK('Original Dataset'!J199),$Z$2,'Original Dataset'!J199)</f>
        <v>12.82</v>
      </c>
      <c r="K199">
        <v>0</v>
      </c>
      <c r="L199">
        <f>IF(ISBLANK('Original Dataset'!L199),$Z$3,'Original Dataset'!L199)</f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f>IF(ISBLANK('Original Dataset'!J200),$Z$2,'Original Dataset'!J200)</f>
        <v>2.2400000000000002</v>
      </c>
      <c r="K200">
        <v>1</v>
      </c>
      <c r="L200">
        <f>IF(ISBLANK('Original Dataset'!L200),$Z$3,'Original Dataset'!L200)</f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f>IF(ISBLANK('Original Dataset'!J201),$Z$2,'Original Dataset'!J201)</f>
        <v>1.8</v>
      </c>
      <c r="K201">
        <v>0</v>
      </c>
      <c r="L201">
        <f>IF(ISBLANK('Original Dataset'!L201),$Z$3,'Original Dataset'!L201)</f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f>IF(ISBLANK('Original Dataset'!J202),$Z$2,'Original Dataset'!J202)</f>
        <v>0.41</v>
      </c>
      <c r="K202">
        <v>1</v>
      </c>
      <c r="L202">
        <f>IF(ISBLANK('Original Dataset'!L202),$Z$3,'Original Dataset'!L202)</f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f>IF(ISBLANK('Original Dataset'!J203),$Z$2,'Original Dataset'!J203)</f>
        <v>3.05</v>
      </c>
      <c r="K203">
        <v>0</v>
      </c>
      <c r="L203">
        <f>IF(ISBLANK('Original Dataset'!L203),$Z$3,'Original Dataset'!L203)</f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f>IF(ISBLANK('Original Dataset'!J204),$Z$2,'Original Dataset'!J204)</f>
        <v>8.44</v>
      </c>
      <c r="K204">
        <v>1</v>
      </c>
      <c r="L204">
        <f>IF(ISBLANK('Original Dataset'!L204),$Z$3,'Original Dataset'!L204)</f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f>IF(ISBLANK('Original Dataset'!J205),$Z$2,'Original Dataset'!J205)</f>
        <v>0.78</v>
      </c>
      <c r="K205">
        <v>0</v>
      </c>
      <c r="L205">
        <f>IF(ISBLANK('Original Dataset'!L205),$Z$3,'Original Dataset'!L205)</f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f>IF(ISBLANK('Original Dataset'!J206),$Z$2,'Original Dataset'!J206)</f>
        <v>0.87</v>
      </c>
      <c r="K206">
        <v>0</v>
      </c>
      <c r="L206">
        <f>IF(ISBLANK('Original Dataset'!L206),$Z$3,'Original Dataset'!L206)</f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f>IF(ISBLANK('Original Dataset'!J207),$Z$2,'Original Dataset'!J207)</f>
        <v>0.95</v>
      </c>
      <c r="K207">
        <v>0</v>
      </c>
      <c r="L207">
        <f>IF(ISBLANK('Original Dataset'!L207),$Z$3,'Original Dataset'!L207)</f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f>IF(ISBLANK('Original Dataset'!J208),$Z$2,'Original Dataset'!J208)</f>
        <v>3.82</v>
      </c>
      <c r="K208">
        <v>0</v>
      </c>
      <c r="L208">
        <f>IF(ISBLANK('Original Dataset'!L208),$Z$3,'Original Dataset'!L208)</f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f>IF(ISBLANK('Original Dataset'!J209),$Z$2,'Original Dataset'!J209)</f>
        <v>2.7</v>
      </c>
      <c r="K209">
        <v>0</v>
      </c>
      <c r="L209">
        <f>IF(ISBLANK('Original Dataset'!L209),$Z$3,'Original Dataset'!L209)</f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f>IF(ISBLANK('Original Dataset'!J210),$Z$2,'Original Dataset'!J210)</f>
        <v>3.84</v>
      </c>
      <c r="K210">
        <v>1</v>
      </c>
      <c r="L210">
        <f>IF(ISBLANK('Original Dataset'!L210),$Z$3,'Original Dataset'!L210)</f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f>IF(ISBLANK('Original Dataset'!J211),$Z$2,'Original Dataset'!J211)</f>
        <v>5.09</v>
      </c>
      <c r="K211">
        <v>0</v>
      </c>
      <c r="L211">
        <f>IF(ISBLANK('Original Dataset'!L211),$Z$3,'Original Dataset'!L211)</f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f>IF(ISBLANK('Original Dataset'!J212),$Z$2,'Original Dataset'!J212)</f>
        <v>3.82</v>
      </c>
      <c r="K212">
        <v>1</v>
      </c>
      <c r="L212">
        <f>IF(ISBLANK('Original Dataset'!L212),$Z$3,'Original Dataset'!L212)</f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f>IF(ISBLANK('Original Dataset'!J213),$Z$2,'Original Dataset'!J213)</f>
        <v>12.28</v>
      </c>
      <c r="K213">
        <v>0</v>
      </c>
      <c r="L213">
        <f>IF(ISBLANK('Original Dataset'!L213),$Z$3,'Original Dataset'!L213)</f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f>IF(ISBLANK('Original Dataset'!J214),$Z$2,'Original Dataset'!J214)</f>
        <v>2.8</v>
      </c>
      <c r="K214">
        <v>0</v>
      </c>
      <c r="L214">
        <f>IF(ISBLANK('Original Dataset'!L214),$Z$3,'Original Dataset'!L214)</f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f>IF(ISBLANK('Original Dataset'!J215),$Z$2,'Original Dataset'!J215)</f>
        <v>3.67</v>
      </c>
      <c r="K215">
        <v>0</v>
      </c>
      <c r="L215">
        <f>IF(ISBLANK('Original Dataset'!L215),$Z$3,'Original Dataset'!L215)</f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f>IF(ISBLANK('Original Dataset'!J216),$Z$2,'Original Dataset'!J216)</f>
        <v>2.81</v>
      </c>
      <c r="K216">
        <v>0</v>
      </c>
      <c r="L216">
        <f>IF(ISBLANK('Original Dataset'!L216),$Z$3,'Original Dataset'!L216)</f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f>IF(ISBLANK('Original Dataset'!J217),$Z$2,'Original Dataset'!J217)</f>
        <v>2.44</v>
      </c>
      <c r="K217">
        <v>0</v>
      </c>
      <c r="L217">
        <f>IF(ISBLANK('Original Dataset'!L217),$Z$3,'Original Dataset'!L217)</f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f>IF(ISBLANK('Original Dataset'!J218),$Z$2,'Original Dataset'!J218)</f>
        <v>3.27</v>
      </c>
      <c r="K218">
        <v>0</v>
      </c>
      <c r="L218">
        <f>IF(ISBLANK('Original Dataset'!L218),$Z$3,'Original Dataset'!L218)</f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f>IF(ISBLANK('Original Dataset'!J219),$Z$2,'Original Dataset'!J219)</f>
        <v>10.34</v>
      </c>
      <c r="K219">
        <v>0</v>
      </c>
      <c r="L219">
        <f>IF(ISBLANK('Original Dataset'!L219),$Z$3,'Original Dataset'!L219)</f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f>IF(ISBLANK('Original Dataset'!J220),$Z$2,'Original Dataset'!J220)</f>
        <v>1.92</v>
      </c>
      <c r="K220">
        <v>0</v>
      </c>
      <c r="L220">
        <f>IF(ISBLANK('Original Dataset'!L220),$Z$3,'Original Dataset'!L220)</f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f>IF(ISBLANK('Original Dataset'!J221),$Z$2,'Original Dataset'!J221)</f>
        <v>3.1</v>
      </c>
      <c r="K221">
        <v>0</v>
      </c>
      <c r="L221">
        <f>IF(ISBLANK('Original Dataset'!L221),$Z$3,'Original Dataset'!L221)</f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f>IF(ISBLANK('Original Dataset'!J222),$Z$2,'Original Dataset'!J222)</f>
        <v>6.34</v>
      </c>
      <c r="K222">
        <v>1</v>
      </c>
      <c r="L222">
        <f>IF(ISBLANK('Original Dataset'!L222),$Z$3,'Original Dataset'!L222)</f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f>IF(ISBLANK('Original Dataset'!J223),$Z$2,'Original Dataset'!J223)</f>
        <v>1.2</v>
      </c>
      <c r="K223">
        <v>0</v>
      </c>
      <c r="L223">
        <f>IF(ISBLANK('Original Dataset'!L223),$Z$3,'Original Dataset'!L223)</f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f>IF(ISBLANK('Original Dataset'!J224),$Z$2,'Original Dataset'!J224)</f>
        <v>4.5</v>
      </c>
      <c r="K224">
        <v>0</v>
      </c>
      <c r="L224">
        <f>IF(ISBLANK('Original Dataset'!L224),$Z$3,'Original Dataset'!L224)</f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f>IF(ISBLANK('Original Dataset'!J225),$Z$2,'Original Dataset'!J225)</f>
        <v>6.68</v>
      </c>
      <c r="K225">
        <v>0</v>
      </c>
      <c r="L225">
        <f>IF(ISBLANK('Original Dataset'!L225),$Z$3,'Original Dataset'!L225)</f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f>IF(ISBLANK('Original Dataset'!J226),$Z$2,'Original Dataset'!J226)</f>
        <v>4.07</v>
      </c>
      <c r="K226">
        <v>1</v>
      </c>
      <c r="L226">
        <f>IF(ISBLANK('Original Dataset'!L226),$Z$3,'Original Dataset'!L226)</f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f>IF(ISBLANK('Original Dataset'!J227),$Z$2,'Original Dataset'!J227)</f>
        <v>5.45</v>
      </c>
      <c r="K227">
        <v>0</v>
      </c>
      <c r="L227">
        <f>IF(ISBLANK('Original Dataset'!L227),$Z$3,'Original Dataset'!L227)</f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f>IF(ISBLANK('Original Dataset'!J228),$Z$2,'Original Dataset'!J228)</f>
        <v>15.58</v>
      </c>
      <c r="K228">
        <v>0</v>
      </c>
      <c r="L228">
        <f>IF(ISBLANK('Original Dataset'!L228),$Z$3,'Original Dataset'!L228)</f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f>IF(ISBLANK('Original Dataset'!J229),$Z$2,'Original Dataset'!J229)</f>
        <v>5.32</v>
      </c>
      <c r="K229">
        <v>0</v>
      </c>
      <c r="L229" s="4">
        <f>IF(ISBLANK('Original Dataset'!L229),$Z$3,'Original Dataset'!L229)</f>
        <v>3.9246794871794881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f>IF(ISBLANK('Original Dataset'!J230),$Z$2,'Original Dataset'!J230)</f>
        <v>0.37</v>
      </c>
      <c r="K230">
        <v>0</v>
      </c>
      <c r="L230">
        <f>IF(ISBLANK('Original Dataset'!L230),$Z$3,'Original Dataset'!L230)</f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f>IF(ISBLANK('Original Dataset'!J231),$Z$2,'Original Dataset'!J231)</f>
        <v>21.63</v>
      </c>
      <c r="K231">
        <v>0</v>
      </c>
      <c r="L231">
        <f>IF(ISBLANK('Original Dataset'!L231),$Z$3,'Original Dataset'!L231)</f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f>IF(ISBLANK('Original Dataset'!J232),$Z$2,'Original Dataset'!J232)</f>
        <v>2.48</v>
      </c>
      <c r="K232">
        <v>0</v>
      </c>
      <c r="L232">
        <f>IF(ISBLANK('Original Dataset'!L232),$Z$3,'Original Dataset'!L232)</f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f>IF(ISBLANK('Original Dataset'!J233),$Z$2,'Original Dataset'!J233)</f>
        <v>3.3650000000000002</v>
      </c>
      <c r="K233">
        <v>0</v>
      </c>
      <c r="L233">
        <f>IF(ISBLANK('Original Dataset'!L233),$Z$3,'Original Dataset'!L233)</f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f>IF(ISBLANK('Original Dataset'!J234),$Z$2,'Original Dataset'!J234)</f>
        <v>0.85</v>
      </c>
      <c r="K234">
        <v>0</v>
      </c>
      <c r="L234">
        <f>IF(ISBLANK('Original Dataset'!L234),$Z$3,'Original Dataset'!L234)</f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f>IF(ISBLANK('Original Dataset'!J235),$Z$2,'Original Dataset'!J235)</f>
        <v>2.13</v>
      </c>
      <c r="K235">
        <v>0</v>
      </c>
      <c r="L235">
        <f>IF(ISBLANK('Original Dataset'!L235),$Z$3,'Original Dataset'!L235)</f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f>IF(ISBLANK('Original Dataset'!J236),$Z$2,'Original Dataset'!J236)</f>
        <v>1.46</v>
      </c>
      <c r="K236">
        <v>0</v>
      </c>
      <c r="L236">
        <f>IF(ISBLANK('Original Dataset'!L236),$Z$3,'Original Dataset'!L236)</f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f>IF(ISBLANK('Original Dataset'!J237),$Z$2,'Original Dataset'!J237)</f>
        <v>3.02</v>
      </c>
      <c r="K237">
        <v>0</v>
      </c>
      <c r="L237">
        <f>IF(ISBLANK('Original Dataset'!L237),$Z$3,'Original Dataset'!L237)</f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f>IF(ISBLANK('Original Dataset'!J238),$Z$2,'Original Dataset'!J238)</f>
        <v>3.22</v>
      </c>
      <c r="K238">
        <v>0</v>
      </c>
      <c r="L238">
        <f>IF(ISBLANK('Original Dataset'!L238),$Z$3,'Original Dataset'!L238)</f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f>IF(ISBLANK('Original Dataset'!J239),$Z$2,'Original Dataset'!J239)</f>
        <v>15.66</v>
      </c>
      <c r="K239">
        <v>0</v>
      </c>
      <c r="L239">
        <f>IF(ISBLANK('Original Dataset'!L239),$Z$3,'Original Dataset'!L239)</f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f>IF(ISBLANK('Original Dataset'!J240),$Z$2,'Original Dataset'!J240)</f>
        <v>6.96</v>
      </c>
      <c r="K240">
        <v>0</v>
      </c>
      <c r="L240">
        <f>IF(ISBLANK('Original Dataset'!L240),$Z$3,'Original Dataset'!L240)</f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f>IF(ISBLANK('Original Dataset'!J241),$Z$2,'Original Dataset'!J241)</f>
        <v>4.62</v>
      </c>
      <c r="K241">
        <v>0</v>
      </c>
      <c r="L241">
        <f>IF(ISBLANK('Original Dataset'!L241),$Z$3,'Original Dataset'!L241)</f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f>IF(ISBLANK('Original Dataset'!J242),$Z$2,'Original Dataset'!J242)</f>
        <v>10.68</v>
      </c>
      <c r="K242">
        <v>1</v>
      </c>
      <c r="L242">
        <f>IF(ISBLANK('Original Dataset'!L242),$Z$3,'Original Dataset'!L242)</f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f>IF(ISBLANK('Original Dataset'!J243),$Z$2,'Original Dataset'!J243)</f>
        <v>4.04</v>
      </c>
      <c r="K243">
        <v>0</v>
      </c>
      <c r="L243">
        <f>IF(ISBLANK('Original Dataset'!L243),$Z$3,'Original Dataset'!L243)</f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f>IF(ISBLANK('Original Dataset'!J244),$Z$2,'Original Dataset'!J244)</f>
        <v>1.87</v>
      </c>
      <c r="K244">
        <v>0</v>
      </c>
      <c r="L244">
        <f>IF(ISBLANK('Original Dataset'!L244),$Z$3,'Original Dataset'!L244)</f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f>IF(ISBLANK('Original Dataset'!J245),$Z$2,'Original Dataset'!J245)</f>
        <v>2.83</v>
      </c>
      <c r="K245">
        <v>0</v>
      </c>
      <c r="L245">
        <f>IF(ISBLANK('Original Dataset'!L245),$Z$3,'Original Dataset'!L245)</f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f>IF(ISBLANK('Original Dataset'!J246),$Z$2,'Original Dataset'!J246)</f>
        <v>0.95</v>
      </c>
      <c r="K246">
        <v>0</v>
      </c>
      <c r="L246">
        <f>IF(ISBLANK('Original Dataset'!L246),$Z$3,'Original Dataset'!L246)</f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f>IF(ISBLANK('Original Dataset'!J247),$Z$2,'Original Dataset'!J247)</f>
        <v>0.8</v>
      </c>
      <c r="K247">
        <v>0</v>
      </c>
      <c r="L247">
        <f>IF(ISBLANK('Original Dataset'!L247),$Z$3,'Original Dataset'!L247)</f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f>IF(ISBLANK('Original Dataset'!J248),$Z$2,'Original Dataset'!J248)</f>
        <v>0.2</v>
      </c>
      <c r="K248">
        <v>0</v>
      </c>
      <c r="L248">
        <f>IF(ISBLANK('Original Dataset'!L248),$Z$3,'Original Dataset'!L248)</f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f>IF(ISBLANK('Original Dataset'!J249),$Z$2,'Original Dataset'!J249)</f>
        <v>1.7</v>
      </c>
      <c r="K249">
        <v>0</v>
      </c>
      <c r="L249">
        <f>IF(ISBLANK('Original Dataset'!L249),$Z$3,'Original Dataset'!L249)</f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f>IF(ISBLANK('Original Dataset'!J250),$Z$2,'Original Dataset'!J250)</f>
        <v>3.3650000000000002</v>
      </c>
      <c r="K250">
        <v>0</v>
      </c>
      <c r="L250">
        <f>IF(ISBLANK('Original Dataset'!L250),$Z$3,'Original Dataset'!L250)</f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f>IF(ISBLANK('Original Dataset'!J251),$Z$2,'Original Dataset'!J251)</f>
        <v>5.0999999999999996</v>
      </c>
      <c r="K251">
        <v>0</v>
      </c>
      <c r="L251">
        <f>IF(ISBLANK('Original Dataset'!L251),$Z$3,'Original Dataset'!L251)</f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f>IF(ISBLANK('Original Dataset'!J252),$Z$2,'Original Dataset'!J252)</f>
        <v>0.83</v>
      </c>
      <c r="K252">
        <v>0</v>
      </c>
      <c r="L252">
        <f>IF(ISBLANK('Original Dataset'!L252),$Z$3,'Original Dataset'!L252)</f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f>IF(ISBLANK('Original Dataset'!J253),$Z$2,'Original Dataset'!J253)</f>
        <v>1.1399999999999999</v>
      </c>
      <c r="K253">
        <v>0</v>
      </c>
      <c r="L253">
        <f>IF(ISBLANK('Original Dataset'!L253),$Z$3,'Original Dataset'!L253)</f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f>IF(ISBLANK('Original Dataset'!J254),$Z$2,'Original Dataset'!J254)</f>
        <v>9.5399999999999991</v>
      </c>
      <c r="K254">
        <v>0</v>
      </c>
      <c r="L254">
        <f>IF(ISBLANK('Original Dataset'!L254),$Z$3,'Original Dataset'!L254)</f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f>IF(ISBLANK('Original Dataset'!J255),$Z$2,'Original Dataset'!J255)</f>
        <v>5.48</v>
      </c>
      <c r="K255">
        <v>0</v>
      </c>
      <c r="L255">
        <f>IF(ISBLANK('Original Dataset'!L255),$Z$3,'Original Dataset'!L255)</f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f>IF(ISBLANK('Original Dataset'!J256),$Z$2,'Original Dataset'!J256)</f>
        <v>0.84</v>
      </c>
      <c r="K256">
        <v>0</v>
      </c>
      <c r="L256">
        <f>IF(ISBLANK('Original Dataset'!L256),$Z$3,'Original Dataset'!L256)</f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f>IF(ISBLANK('Original Dataset'!J257),$Z$2,'Original Dataset'!J257)</f>
        <v>4.1900000000000004</v>
      </c>
      <c r="K257">
        <v>0</v>
      </c>
      <c r="L257">
        <f>IF(ISBLANK('Original Dataset'!L257),$Z$3,'Original Dataset'!L257)</f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f>IF(ISBLANK('Original Dataset'!J258),$Z$2,'Original Dataset'!J258)</f>
        <v>1.26</v>
      </c>
      <c r="K258">
        <v>1</v>
      </c>
      <c r="L258">
        <f>IF(ISBLANK('Original Dataset'!L258),$Z$3,'Original Dataset'!L258)</f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f>IF(ISBLANK('Original Dataset'!J259),$Z$2,'Original Dataset'!J259)</f>
        <v>2.74</v>
      </c>
      <c r="K259">
        <v>0</v>
      </c>
      <c r="L259">
        <f>IF(ISBLANK('Original Dataset'!L259),$Z$3,'Original Dataset'!L259)</f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f>IF(ISBLANK('Original Dataset'!J260),$Z$2,'Original Dataset'!J260)</f>
        <v>3.69</v>
      </c>
      <c r="K260">
        <v>0</v>
      </c>
      <c r="L260">
        <f>IF(ISBLANK('Original Dataset'!L260),$Z$3,'Original Dataset'!L260)</f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f>IF(ISBLANK('Original Dataset'!J261),$Z$2,'Original Dataset'!J261)</f>
        <v>1.82</v>
      </c>
      <c r="K261">
        <v>0</v>
      </c>
      <c r="L261">
        <f>IF(ISBLANK('Original Dataset'!L261),$Z$3,'Original Dataset'!L261)</f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f>IF(ISBLANK('Original Dataset'!J262),$Z$2,'Original Dataset'!J262)</f>
        <v>6.62</v>
      </c>
      <c r="K262">
        <v>0</v>
      </c>
      <c r="L262">
        <f>IF(ISBLANK('Original Dataset'!L262),$Z$3,'Original Dataset'!L262)</f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f>IF(ISBLANK('Original Dataset'!J263),$Z$2,'Original Dataset'!J263)</f>
        <v>3.3650000000000002</v>
      </c>
      <c r="K263">
        <v>0</v>
      </c>
      <c r="L263">
        <f>IF(ISBLANK('Original Dataset'!L263),$Z$3,'Original Dataset'!L263)</f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f>IF(ISBLANK('Original Dataset'!J264),$Z$2,'Original Dataset'!J264)</f>
        <v>6.92</v>
      </c>
      <c r="K264">
        <v>1</v>
      </c>
      <c r="L264">
        <f>IF(ISBLANK('Original Dataset'!L264),$Z$3,'Original Dataset'!L264)</f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f>IF(ISBLANK('Original Dataset'!J265),$Z$2,'Original Dataset'!J265)</f>
        <v>11.78</v>
      </c>
      <c r="K265">
        <v>0</v>
      </c>
      <c r="L265">
        <f>IF(ISBLANK('Original Dataset'!L265),$Z$3,'Original Dataset'!L265)</f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f>IF(ISBLANK('Original Dataset'!J266),$Z$2,'Original Dataset'!J266)</f>
        <v>0.5</v>
      </c>
      <c r="K266">
        <v>0</v>
      </c>
      <c r="L266">
        <f>IF(ISBLANK('Original Dataset'!L266),$Z$3,'Original Dataset'!L266)</f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f>IF(ISBLANK('Original Dataset'!J267),$Z$2,'Original Dataset'!J267)</f>
        <v>0.88</v>
      </c>
      <c r="K267">
        <v>0</v>
      </c>
      <c r="L267">
        <f>IF(ISBLANK('Original Dataset'!L267),$Z$3,'Original Dataset'!L267)</f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f>IF(ISBLANK('Original Dataset'!J268),$Z$2,'Original Dataset'!J268)</f>
        <v>2.25</v>
      </c>
      <c r="K268">
        <v>0</v>
      </c>
      <c r="L268">
        <f>IF(ISBLANK('Original Dataset'!L268),$Z$3,'Original Dataset'!L268)</f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f>IF(ISBLANK('Original Dataset'!J269),$Z$2,'Original Dataset'!J269)</f>
        <v>0.28999999999999998</v>
      </c>
      <c r="K269">
        <v>0</v>
      </c>
      <c r="L269">
        <f>IF(ISBLANK('Original Dataset'!L269),$Z$3,'Original Dataset'!L269)</f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f>IF(ISBLANK('Original Dataset'!J270),$Z$2,'Original Dataset'!J270)</f>
        <v>0.65</v>
      </c>
      <c r="K270">
        <v>0</v>
      </c>
      <c r="L270">
        <f>IF(ISBLANK('Original Dataset'!L270),$Z$3,'Original Dataset'!L270)</f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f>IF(ISBLANK('Original Dataset'!J271),$Z$2,'Original Dataset'!J271)</f>
        <v>0.2</v>
      </c>
      <c r="K271">
        <v>0</v>
      </c>
      <c r="L271">
        <f>IF(ISBLANK('Original Dataset'!L271),$Z$3,'Original Dataset'!L271)</f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f>IF(ISBLANK('Original Dataset'!J272),$Z$2,'Original Dataset'!J272)</f>
        <v>3.63</v>
      </c>
      <c r="K272">
        <v>1</v>
      </c>
      <c r="L272">
        <f>IF(ISBLANK('Original Dataset'!L272),$Z$3,'Original Dataset'!L272)</f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f>IF(ISBLANK('Original Dataset'!J273),$Z$2,'Original Dataset'!J273)</f>
        <v>0.2</v>
      </c>
      <c r="K273">
        <v>0</v>
      </c>
      <c r="L273">
        <f>IF(ISBLANK('Original Dataset'!L273),$Z$3,'Original Dataset'!L273)</f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f>IF(ISBLANK('Original Dataset'!J274),$Z$2,'Original Dataset'!J274)</f>
        <v>6.23</v>
      </c>
      <c r="K274">
        <v>0</v>
      </c>
      <c r="L274">
        <f>IF(ISBLANK('Original Dataset'!L274),$Z$3,'Original Dataset'!L274)</f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f>IF(ISBLANK('Original Dataset'!J275),$Z$2,'Original Dataset'!J275)</f>
        <v>1.04</v>
      </c>
      <c r="K275">
        <v>0</v>
      </c>
      <c r="L275">
        <f>IF(ISBLANK('Original Dataset'!L275),$Z$3,'Original Dataset'!L275)</f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f>IF(ISBLANK('Original Dataset'!J276),$Z$2,'Original Dataset'!J276)</f>
        <v>1.76</v>
      </c>
      <c r="K276">
        <v>0</v>
      </c>
      <c r="L276">
        <f>IF(ISBLANK('Original Dataset'!L276),$Z$3,'Original Dataset'!L276)</f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f>IF(ISBLANK('Original Dataset'!J277),$Z$2,'Original Dataset'!J277)</f>
        <v>2.86</v>
      </c>
      <c r="K277">
        <v>0</v>
      </c>
      <c r="L277">
        <f>IF(ISBLANK('Original Dataset'!L277),$Z$3,'Original Dataset'!L277)</f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f>IF(ISBLANK('Original Dataset'!J278),$Z$2,'Original Dataset'!J278)</f>
        <v>18.14</v>
      </c>
      <c r="K278">
        <v>1</v>
      </c>
      <c r="L278">
        <f>IF(ISBLANK('Original Dataset'!L278),$Z$3,'Original Dataset'!L278)</f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f>IF(ISBLANK('Original Dataset'!J279),$Z$2,'Original Dataset'!J279)</f>
        <v>3.39</v>
      </c>
      <c r="K279">
        <v>0</v>
      </c>
      <c r="L279">
        <f>IF(ISBLANK('Original Dataset'!L279),$Z$3,'Original Dataset'!L279)</f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f>IF(ISBLANK('Original Dataset'!J280),$Z$2,'Original Dataset'!J280)</f>
        <v>1.44</v>
      </c>
      <c r="K280">
        <v>0</v>
      </c>
      <c r="L280">
        <f>IF(ISBLANK('Original Dataset'!L280),$Z$3,'Original Dataset'!L280)</f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f>IF(ISBLANK('Original Dataset'!J281),$Z$2,'Original Dataset'!J281)</f>
        <v>3.65</v>
      </c>
      <c r="K281">
        <v>0</v>
      </c>
      <c r="L281">
        <f>IF(ISBLANK('Original Dataset'!L281),$Z$3,'Original Dataset'!L281)</f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f>IF(ISBLANK('Original Dataset'!J282),$Z$2,'Original Dataset'!J282)</f>
        <v>1.23</v>
      </c>
      <c r="K282">
        <v>1</v>
      </c>
      <c r="L282">
        <f>IF(ISBLANK('Original Dataset'!L282),$Z$3,'Original Dataset'!L282)</f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f>IF(ISBLANK('Original Dataset'!J283),$Z$2,'Original Dataset'!J283)</f>
        <v>3.09</v>
      </c>
      <c r="K283">
        <v>0</v>
      </c>
      <c r="L283">
        <f>IF(ISBLANK('Original Dataset'!L283),$Z$3,'Original Dataset'!L283)</f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f>IF(ISBLANK('Original Dataset'!J284),$Z$2,'Original Dataset'!J284)</f>
        <v>3.15</v>
      </c>
      <c r="K284">
        <v>0</v>
      </c>
      <c r="L284">
        <f>IF(ISBLANK('Original Dataset'!L284),$Z$3,'Original Dataset'!L284)</f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f>IF(ISBLANK('Original Dataset'!J285),$Z$2,'Original Dataset'!J285)</f>
        <v>6.44</v>
      </c>
      <c r="K285">
        <v>0</v>
      </c>
      <c r="L285">
        <f>IF(ISBLANK('Original Dataset'!L285),$Z$3,'Original Dataset'!L285)</f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f>IF(ISBLANK('Original Dataset'!J286),$Z$2,'Original Dataset'!J286)</f>
        <v>0.2</v>
      </c>
      <c r="K286">
        <v>1</v>
      </c>
      <c r="L286">
        <f>IF(ISBLANK('Original Dataset'!L286),$Z$3,'Original Dataset'!L286)</f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f>IF(ISBLANK('Original Dataset'!J287),$Z$2,'Original Dataset'!J287)</f>
        <v>0.59</v>
      </c>
      <c r="K287">
        <v>0</v>
      </c>
      <c r="L287">
        <f>IF(ISBLANK('Original Dataset'!L287),$Z$3,'Original Dataset'!L287)</f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f>IF(ISBLANK('Original Dataset'!J288),$Z$2,'Original Dataset'!J288)</f>
        <v>0.2</v>
      </c>
      <c r="K288">
        <v>1</v>
      </c>
      <c r="L288">
        <f>IF(ISBLANK('Original Dataset'!L288),$Z$3,'Original Dataset'!L288)</f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f>IF(ISBLANK('Original Dataset'!J289),$Z$2,'Original Dataset'!J289)</f>
        <v>1.36</v>
      </c>
      <c r="K289">
        <v>0</v>
      </c>
      <c r="L289">
        <f>IF(ISBLANK('Original Dataset'!L289),$Z$3,'Original Dataset'!L289)</f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f>IF(ISBLANK('Original Dataset'!J290),$Z$2,'Original Dataset'!J290)</f>
        <v>3.34</v>
      </c>
      <c r="K290">
        <v>0</v>
      </c>
      <c r="L290">
        <f>IF(ISBLANK('Original Dataset'!L290),$Z$3,'Original Dataset'!L290)</f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f>IF(ISBLANK('Original Dataset'!J291),$Z$2,'Original Dataset'!J291)</f>
        <v>0.33</v>
      </c>
      <c r="K291">
        <v>0</v>
      </c>
      <c r="L291">
        <f>IF(ISBLANK('Original Dataset'!L291),$Z$3,'Original Dataset'!L291)</f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f>IF(ISBLANK('Original Dataset'!J292),$Z$2,'Original Dataset'!J292)</f>
        <v>3.44</v>
      </c>
      <c r="K292">
        <v>1</v>
      </c>
      <c r="L292">
        <f>IF(ISBLANK('Original Dataset'!L292),$Z$3,'Original Dataset'!L292)</f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f>IF(ISBLANK('Original Dataset'!J293),$Z$2,'Original Dataset'!J293)</f>
        <v>5.33</v>
      </c>
      <c r="K293">
        <v>0</v>
      </c>
      <c r="L293">
        <f>IF(ISBLANK('Original Dataset'!L293),$Z$3,'Original Dataset'!L293)</f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f>IF(ISBLANK('Original Dataset'!J294),$Z$2,'Original Dataset'!J294)</f>
        <v>6.04</v>
      </c>
      <c r="K294">
        <v>0</v>
      </c>
      <c r="L294">
        <f>IF(ISBLANK('Original Dataset'!L294),$Z$3,'Original Dataset'!L294)</f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f>IF(ISBLANK('Original Dataset'!J295),$Z$2,'Original Dataset'!J295)</f>
        <v>1.6</v>
      </c>
      <c r="K295">
        <v>0</v>
      </c>
      <c r="L295">
        <f>IF(ISBLANK('Original Dataset'!L295),$Z$3,'Original Dataset'!L295)</f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f>IF(ISBLANK('Original Dataset'!J296),$Z$2,'Original Dataset'!J296)</f>
        <v>8.9600000000000009</v>
      </c>
      <c r="K296">
        <v>0</v>
      </c>
      <c r="L296">
        <f>IF(ISBLANK('Original Dataset'!L296),$Z$3,'Original Dataset'!L296)</f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f>IF(ISBLANK('Original Dataset'!J297),$Z$2,'Original Dataset'!J297)</f>
        <v>0.74</v>
      </c>
      <c r="K297">
        <v>0</v>
      </c>
      <c r="L297">
        <f>IF(ISBLANK('Original Dataset'!L297),$Z$3,'Original Dataset'!L297)</f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f>IF(ISBLANK('Original Dataset'!J298),$Z$2,'Original Dataset'!J298)</f>
        <v>6.13</v>
      </c>
      <c r="K298">
        <v>0</v>
      </c>
      <c r="L298">
        <f>IF(ISBLANK('Original Dataset'!L298),$Z$3,'Original Dataset'!L298)</f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f>IF(ISBLANK('Original Dataset'!J299),$Z$2,'Original Dataset'!J299)</f>
        <v>1.41</v>
      </c>
      <c r="K299">
        <v>0</v>
      </c>
      <c r="L299">
        <f>IF(ISBLANK('Original Dataset'!L299),$Z$3,'Original Dataset'!L299)</f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f>IF(ISBLANK('Original Dataset'!J300),$Z$2,'Original Dataset'!J300)</f>
        <v>3.75</v>
      </c>
      <c r="K300">
        <v>0</v>
      </c>
      <c r="L300">
        <f>IF(ISBLANK('Original Dataset'!L300),$Z$3,'Original Dataset'!L300)</f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f>IF(ISBLANK('Original Dataset'!J301),$Z$2,'Original Dataset'!J301)</f>
        <v>15.06</v>
      </c>
      <c r="K301">
        <v>0</v>
      </c>
      <c r="L301">
        <f>IF(ISBLANK('Original Dataset'!L301),$Z$3,'Original Dataset'!L301)</f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f>IF(ISBLANK('Original Dataset'!J302),$Z$2,'Original Dataset'!J302)</f>
        <v>5.07</v>
      </c>
      <c r="K302">
        <v>1</v>
      </c>
      <c r="L302">
        <f>IF(ISBLANK('Original Dataset'!L302),$Z$3,'Original Dataset'!L302)</f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f>IF(ISBLANK('Original Dataset'!J303),$Z$2,'Original Dataset'!J303)</f>
        <v>3.6</v>
      </c>
      <c r="K303">
        <v>0</v>
      </c>
      <c r="L303">
        <f>IF(ISBLANK('Original Dataset'!L303),$Z$3,'Original Dataset'!L303)</f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f>IF(ISBLANK('Original Dataset'!J304),$Z$2,'Original Dataset'!J304)</f>
        <v>4.3899999999999997</v>
      </c>
      <c r="K304">
        <v>1</v>
      </c>
      <c r="L304">
        <f>IF(ISBLANK('Original Dataset'!L304),$Z$3,'Original Dataset'!L304)</f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f>IF(ISBLANK('Original Dataset'!J305),$Z$2,'Original Dataset'!J305)</f>
        <v>2.79</v>
      </c>
      <c r="K305">
        <v>0</v>
      </c>
      <c r="L305">
        <f>IF(ISBLANK('Original Dataset'!L305),$Z$3,'Original Dataset'!L305)</f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f>IF(ISBLANK('Original Dataset'!J306),$Z$2,'Original Dataset'!J306)</f>
        <v>1.56</v>
      </c>
      <c r="K306">
        <v>0</v>
      </c>
      <c r="L306">
        <f>IF(ISBLANK('Original Dataset'!L306),$Z$3,'Original Dataset'!L306)</f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f>IF(ISBLANK('Original Dataset'!J307),$Z$2,'Original Dataset'!J307)</f>
        <v>15.82</v>
      </c>
      <c r="K307">
        <v>0</v>
      </c>
      <c r="L307">
        <f>IF(ISBLANK('Original Dataset'!L307),$Z$3,'Original Dataset'!L307)</f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f>IF(ISBLANK('Original Dataset'!J308),$Z$2,'Original Dataset'!J308)</f>
        <v>1.17</v>
      </c>
      <c r="K308">
        <v>1</v>
      </c>
      <c r="L308">
        <f>IF(ISBLANK('Original Dataset'!L308),$Z$3,'Original Dataset'!L308)</f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f>IF(ISBLANK('Original Dataset'!J309),$Z$2,'Original Dataset'!J309)</f>
        <v>3.82</v>
      </c>
      <c r="K309">
        <v>0</v>
      </c>
      <c r="L309">
        <f>IF(ISBLANK('Original Dataset'!L309),$Z$3,'Original Dataset'!L309)</f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f>IF(ISBLANK('Original Dataset'!J310),$Z$2,'Original Dataset'!J310)</f>
        <v>4.1399999999999997</v>
      </c>
      <c r="K310">
        <v>0</v>
      </c>
      <c r="L310">
        <f>IF(ISBLANK('Original Dataset'!L310),$Z$3,'Original Dataset'!L310)</f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f>IF(ISBLANK('Original Dataset'!J311),$Z$2,'Original Dataset'!J311)</f>
        <v>1.1000000000000001</v>
      </c>
      <c r="K311">
        <v>0</v>
      </c>
      <c r="L311">
        <f>IF(ISBLANK('Original Dataset'!L311),$Z$3,'Original Dataset'!L311)</f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f>IF(ISBLANK('Original Dataset'!J312),$Z$2,'Original Dataset'!J312)</f>
        <v>10.6</v>
      </c>
      <c r="K312">
        <v>0</v>
      </c>
      <c r="L312">
        <f>IF(ISBLANK('Original Dataset'!L312),$Z$3,'Original Dataset'!L312)</f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f>IF(ISBLANK('Original Dataset'!J313),$Z$2,'Original Dataset'!J313)</f>
        <v>0.9</v>
      </c>
      <c r="K313">
        <v>0</v>
      </c>
      <c r="L313" s="4">
        <f>IF(ISBLANK('Original Dataset'!L313),$Z$3,'Original Dataset'!L313)</f>
        <v>3.9246794871794881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f>IF(ISBLANK('Original Dataset'!J314),$Z$2,'Original Dataset'!J314)</f>
        <v>0.2</v>
      </c>
      <c r="K314">
        <v>0</v>
      </c>
      <c r="L314">
        <f>IF(ISBLANK('Original Dataset'!L314),$Z$3,'Original Dataset'!L314)</f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f>IF(ISBLANK('Original Dataset'!J315),$Z$2,'Original Dataset'!J315)</f>
        <v>4.67</v>
      </c>
      <c r="K315">
        <v>0</v>
      </c>
      <c r="L315" s="4">
        <f>IF(ISBLANK('Original Dataset'!L315),$Z$3,'Original Dataset'!L315)</f>
        <v>3.9246794871794881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f>IF(ISBLANK('Original Dataset'!J316),$Z$2,'Original Dataset'!J316)</f>
        <v>4.38</v>
      </c>
      <c r="K316">
        <v>1</v>
      </c>
      <c r="L316">
        <f>IF(ISBLANK('Original Dataset'!L316),$Z$3,'Original Dataset'!L316)</f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f>IF(ISBLANK('Original Dataset'!J317),$Z$2,'Original Dataset'!J317)</f>
        <v>4.4800000000000004</v>
      </c>
      <c r="K317">
        <v>0</v>
      </c>
      <c r="L317">
        <f>IF(ISBLANK('Original Dataset'!L317),$Z$3,'Original Dataset'!L317)</f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f>IF(ISBLANK('Original Dataset'!J318),$Z$2,'Original Dataset'!J318)</f>
        <v>1.02</v>
      </c>
      <c r="K318">
        <v>1</v>
      </c>
      <c r="L318">
        <f>IF(ISBLANK('Original Dataset'!L318),$Z$3,'Original Dataset'!L318)</f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f>IF(ISBLANK('Original Dataset'!J319),$Z$2,'Original Dataset'!J319)</f>
        <v>0.2</v>
      </c>
      <c r="K319">
        <v>0</v>
      </c>
      <c r="L319">
        <f>IF(ISBLANK('Original Dataset'!L319),$Z$3,'Original Dataset'!L319)</f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f>IF(ISBLANK('Original Dataset'!J320),$Z$2,'Original Dataset'!J320)</f>
        <v>4.8899999999999997</v>
      </c>
      <c r="K320">
        <v>1</v>
      </c>
      <c r="L320">
        <f>IF(ISBLANK('Original Dataset'!L320),$Z$3,'Original Dataset'!L320)</f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f>IF(ISBLANK('Original Dataset'!J321),$Z$2,'Original Dataset'!J321)</f>
        <v>11.82</v>
      </c>
      <c r="K321">
        <v>0</v>
      </c>
      <c r="L321">
        <f>IF(ISBLANK('Original Dataset'!L321),$Z$3,'Original Dataset'!L321)</f>
        <v>4.0999999999999996</v>
      </c>
      <c r="M321">
        <v>559660.84</v>
      </c>
      <c r="N321">
        <v>71443.61</v>
      </c>
    </row>
  </sheetData>
  <autoFilter ref="A1:N321" xr:uid="{A4DF2E68-988A-47D7-A823-284D4C56FFE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F9FC6-63AC-463D-B0B5-1A774710B095}">
  <dimension ref="A1:T321"/>
  <sheetViews>
    <sheetView workbookViewId="0">
      <selection activeCell="P1" sqref="P1:T1048576"/>
    </sheetView>
  </sheetViews>
  <sheetFormatPr defaultRowHeight="13.8"/>
  <cols>
    <col min="1" max="1" width="16.09765625" customWidth="1"/>
    <col min="2" max="2" width="18.19921875" customWidth="1"/>
    <col min="3" max="6" width="16.09765625" customWidth="1"/>
    <col min="7" max="7" width="19.296875" customWidth="1"/>
    <col min="8" max="8" width="16.09765625" customWidth="1"/>
    <col min="9" max="9" width="21" customWidth="1"/>
    <col min="10" max="10" width="25.69921875" customWidth="1"/>
    <col min="11" max="14" width="16.09765625" customWidth="1"/>
    <col min="15" max="16" width="13.19921875" customWidth="1"/>
    <col min="17" max="17" width="11.8984375" customWidth="1"/>
    <col min="18" max="18" width="11.796875" customWidth="1"/>
    <col min="19" max="19" width="15.796875" customWidth="1"/>
    <col min="20" max="20" width="13.8984375" customWidth="1"/>
  </cols>
  <sheetData>
    <row r="1" spans="1:20" ht="27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118</v>
      </c>
      <c r="P1" s="1" t="s">
        <v>119</v>
      </c>
      <c r="Q1" s="1" t="s">
        <v>120</v>
      </c>
      <c r="R1" s="1" t="s">
        <v>121</v>
      </c>
      <c r="S1" s="1" t="s">
        <v>122</v>
      </c>
      <c r="T1" s="1" t="s">
        <v>123</v>
      </c>
    </row>
    <row r="2" spans="1:20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  <c r="O2">
        <f>IF(C2="North",1,0)</f>
        <v>0</v>
      </c>
      <c r="P2">
        <f>IF(C2="South",1,0)</f>
        <v>0</v>
      </c>
      <c r="Q2">
        <f>IF(C2="East",1,0)</f>
        <v>1</v>
      </c>
      <c r="R2">
        <f>IF(D2="Mall",1,0)</f>
        <v>0</v>
      </c>
      <c r="S2">
        <f>IF(D2="High Street",1,0)</f>
        <v>0</v>
      </c>
      <c r="T2">
        <f>IF(D2="Airport",1,0)</f>
        <v>0</v>
      </c>
    </row>
    <row r="3" spans="1:20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  <c r="O3">
        <f t="shared" ref="O3:O66" si="0">IF(C3="North",1,0)</f>
        <v>0</v>
      </c>
      <c r="P3">
        <f t="shared" ref="P3:P66" si="1">IF(C3="South",1,0)</f>
        <v>0</v>
      </c>
      <c r="Q3">
        <f t="shared" ref="Q3:Q66" si="2">IF(C3="East",1,0)</f>
        <v>1</v>
      </c>
      <c r="R3">
        <f t="shared" ref="R3:R66" si="3">IF(D3="Mall",1,0)</f>
        <v>0</v>
      </c>
      <c r="S3">
        <f t="shared" ref="S3:S66" si="4">IF(D3="High Street",1,0)</f>
        <v>0</v>
      </c>
      <c r="T3">
        <f t="shared" ref="T3:T66" si="5">IF(D3="Airport",1,0)</f>
        <v>0</v>
      </c>
    </row>
    <row r="4" spans="1:20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  <c r="O4">
        <f t="shared" si="0"/>
        <v>0</v>
      </c>
      <c r="P4">
        <f t="shared" si="1"/>
        <v>0</v>
      </c>
      <c r="Q4">
        <f t="shared" si="2"/>
        <v>1</v>
      </c>
      <c r="R4">
        <f t="shared" si="3"/>
        <v>0</v>
      </c>
      <c r="S4">
        <f t="shared" si="4"/>
        <v>0</v>
      </c>
      <c r="T4">
        <f t="shared" si="5"/>
        <v>0</v>
      </c>
    </row>
    <row r="5" spans="1:20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  <c r="O5">
        <f t="shared" si="0"/>
        <v>0</v>
      </c>
      <c r="P5">
        <f t="shared" si="1"/>
        <v>0</v>
      </c>
      <c r="Q5">
        <f t="shared" si="2"/>
        <v>1</v>
      </c>
      <c r="R5">
        <f t="shared" si="3"/>
        <v>0</v>
      </c>
      <c r="S5">
        <f t="shared" si="4"/>
        <v>0</v>
      </c>
      <c r="T5">
        <f t="shared" si="5"/>
        <v>0</v>
      </c>
    </row>
    <row r="6" spans="1:20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  <c r="O6">
        <f t="shared" si="0"/>
        <v>0</v>
      </c>
      <c r="P6">
        <f t="shared" si="1"/>
        <v>0</v>
      </c>
      <c r="Q6">
        <f t="shared" si="2"/>
        <v>1</v>
      </c>
      <c r="R6">
        <f t="shared" si="3"/>
        <v>0</v>
      </c>
      <c r="S6">
        <f t="shared" si="4"/>
        <v>1</v>
      </c>
      <c r="T6">
        <f t="shared" si="5"/>
        <v>0</v>
      </c>
    </row>
    <row r="7" spans="1:20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  <c r="O7">
        <f t="shared" si="0"/>
        <v>0</v>
      </c>
      <c r="P7">
        <f t="shared" si="1"/>
        <v>0</v>
      </c>
      <c r="Q7">
        <f t="shared" si="2"/>
        <v>1</v>
      </c>
      <c r="R7">
        <f t="shared" si="3"/>
        <v>0</v>
      </c>
      <c r="S7">
        <f t="shared" si="4"/>
        <v>1</v>
      </c>
      <c r="T7">
        <f t="shared" si="5"/>
        <v>0</v>
      </c>
    </row>
    <row r="8" spans="1:20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  <c r="O8">
        <f t="shared" si="0"/>
        <v>0</v>
      </c>
      <c r="P8">
        <f t="shared" si="1"/>
        <v>0</v>
      </c>
      <c r="Q8">
        <f t="shared" si="2"/>
        <v>1</v>
      </c>
      <c r="R8">
        <f t="shared" si="3"/>
        <v>0</v>
      </c>
      <c r="S8">
        <f t="shared" si="4"/>
        <v>1</v>
      </c>
      <c r="T8">
        <f t="shared" si="5"/>
        <v>0</v>
      </c>
    </row>
    <row r="9" spans="1:20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  <c r="O9">
        <f t="shared" si="0"/>
        <v>0</v>
      </c>
      <c r="P9">
        <f t="shared" si="1"/>
        <v>0</v>
      </c>
      <c r="Q9">
        <f t="shared" si="2"/>
        <v>1</v>
      </c>
      <c r="R9">
        <f t="shared" si="3"/>
        <v>0</v>
      </c>
      <c r="S9">
        <f t="shared" si="4"/>
        <v>1</v>
      </c>
      <c r="T9">
        <f t="shared" si="5"/>
        <v>0</v>
      </c>
    </row>
    <row r="10" spans="1:20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  <c r="O10">
        <f t="shared" si="0"/>
        <v>1</v>
      </c>
      <c r="P10">
        <f t="shared" si="1"/>
        <v>0</v>
      </c>
      <c r="Q10">
        <f t="shared" si="2"/>
        <v>0</v>
      </c>
      <c r="R10">
        <f t="shared" si="3"/>
        <v>0</v>
      </c>
      <c r="S10">
        <f t="shared" si="4"/>
        <v>0</v>
      </c>
      <c r="T10">
        <f t="shared" si="5"/>
        <v>1</v>
      </c>
    </row>
    <row r="11" spans="1:20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  <c r="O11">
        <f t="shared" si="0"/>
        <v>1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1</v>
      </c>
    </row>
    <row r="12" spans="1:20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  <c r="O12">
        <f t="shared" si="0"/>
        <v>1</v>
      </c>
      <c r="P12">
        <f t="shared" si="1"/>
        <v>0</v>
      </c>
      <c r="Q12">
        <f t="shared" si="2"/>
        <v>0</v>
      </c>
      <c r="R12">
        <f t="shared" si="3"/>
        <v>0</v>
      </c>
      <c r="S12">
        <f t="shared" si="4"/>
        <v>0</v>
      </c>
      <c r="T12">
        <f t="shared" si="5"/>
        <v>1</v>
      </c>
    </row>
    <row r="13" spans="1:20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  <c r="O13">
        <f t="shared" si="0"/>
        <v>1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1</v>
      </c>
    </row>
    <row r="14" spans="1:20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  <c r="O14">
        <f t="shared" si="0"/>
        <v>0</v>
      </c>
      <c r="P14">
        <f t="shared" si="1"/>
        <v>0</v>
      </c>
      <c r="Q14">
        <f t="shared" si="2"/>
        <v>1</v>
      </c>
      <c r="R14">
        <f t="shared" si="3"/>
        <v>0</v>
      </c>
      <c r="S14">
        <f t="shared" si="4"/>
        <v>0</v>
      </c>
      <c r="T14">
        <f t="shared" si="5"/>
        <v>0</v>
      </c>
    </row>
    <row r="15" spans="1:20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  <c r="O15">
        <f t="shared" si="0"/>
        <v>0</v>
      </c>
      <c r="P15">
        <f t="shared" si="1"/>
        <v>0</v>
      </c>
      <c r="Q15">
        <f t="shared" si="2"/>
        <v>1</v>
      </c>
      <c r="R15">
        <f t="shared" si="3"/>
        <v>0</v>
      </c>
      <c r="S15">
        <f t="shared" si="4"/>
        <v>0</v>
      </c>
      <c r="T15">
        <f t="shared" si="5"/>
        <v>0</v>
      </c>
    </row>
    <row r="16" spans="1:20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  <c r="O16">
        <f t="shared" si="0"/>
        <v>0</v>
      </c>
      <c r="P16">
        <f t="shared" si="1"/>
        <v>0</v>
      </c>
      <c r="Q16">
        <f t="shared" si="2"/>
        <v>1</v>
      </c>
      <c r="R16">
        <f t="shared" si="3"/>
        <v>0</v>
      </c>
      <c r="S16">
        <f t="shared" si="4"/>
        <v>0</v>
      </c>
      <c r="T16">
        <f t="shared" si="5"/>
        <v>0</v>
      </c>
    </row>
    <row r="17" spans="1:20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  <c r="O17">
        <f t="shared" si="0"/>
        <v>0</v>
      </c>
      <c r="P17">
        <f t="shared" si="1"/>
        <v>0</v>
      </c>
      <c r="Q17">
        <f t="shared" si="2"/>
        <v>1</v>
      </c>
      <c r="R17">
        <f t="shared" si="3"/>
        <v>0</v>
      </c>
      <c r="S17">
        <f t="shared" si="4"/>
        <v>0</v>
      </c>
      <c r="T17">
        <f t="shared" si="5"/>
        <v>0</v>
      </c>
    </row>
    <row r="18" spans="1:20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  <c r="O18">
        <f t="shared" si="0"/>
        <v>0</v>
      </c>
      <c r="P18">
        <f t="shared" si="1"/>
        <v>1</v>
      </c>
      <c r="Q18">
        <f t="shared" si="2"/>
        <v>0</v>
      </c>
      <c r="R18">
        <f t="shared" si="3"/>
        <v>0</v>
      </c>
      <c r="S18">
        <f t="shared" si="4"/>
        <v>0</v>
      </c>
      <c r="T18">
        <f t="shared" si="5"/>
        <v>0</v>
      </c>
    </row>
    <row r="19" spans="1:20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  <c r="O19">
        <f t="shared" si="0"/>
        <v>0</v>
      </c>
      <c r="P19">
        <f t="shared" si="1"/>
        <v>1</v>
      </c>
      <c r="Q19">
        <f t="shared" si="2"/>
        <v>0</v>
      </c>
      <c r="R19">
        <f t="shared" si="3"/>
        <v>0</v>
      </c>
      <c r="S19">
        <f t="shared" si="4"/>
        <v>0</v>
      </c>
      <c r="T19">
        <f t="shared" si="5"/>
        <v>0</v>
      </c>
    </row>
    <row r="20" spans="1:20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  <c r="O20">
        <f t="shared" si="0"/>
        <v>0</v>
      </c>
      <c r="P20">
        <f t="shared" si="1"/>
        <v>1</v>
      </c>
      <c r="Q20">
        <f t="shared" si="2"/>
        <v>0</v>
      </c>
      <c r="R20">
        <f t="shared" si="3"/>
        <v>0</v>
      </c>
      <c r="S20">
        <f t="shared" si="4"/>
        <v>0</v>
      </c>
      <c r="T20">
        <f t="shared" si="5"/>
        <v>0</v>
      </c>
    </row>
    <row r="21" spans="1:20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  <c r="O21">
        <f t="shared" si="0"/>
        <v>0</v>
      </c>
      <c r="P21">
        <f t="shared" si="1"/>
        <v>1</v>
      </c>
      <c r="Q21">
        <f t="shared" si="2"/>
        <v>0</v>
      </c>
      <c r="R21">
        <f t="shared" si="3"/>
        <v>0</v>
      </c>
      <c r="S21">
        <f t="shared" si="4"/>
        <v>0</v>
      </c>
      <c r="T21">
        <f t="shared" si="5"/>
        <v>0</v>
      </c>
    </row>
    <row r="22" spans="1:20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  <c r="O22">
        <f t="shared" si="0"/>
        <v>1</v>
      </c>
      <c r="P22">
        <f t="shared" si="1"/>
        <v>0</v>
      </c>
      <c r="Q22">
        <f t="shared" si="2"/>
        <v>0</v>
      </c>
      <c r="R22">
        <f t="shared" si="3"/>
        <v>0</v>
      </c>
      <c r="S22">
        <f t="shared" si="4"/>
        <v>0</v>
      </c>
      <c r="T22">
        <f t="shared" si="5"/>
        <v>0</v>
      </c>
    </row>
    <row r="23" spans="1:20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  <c r="O23">
        <f t="shared" si="0"/>
        <v>1</v>
      </c>
      <c r="P23">
        <f t="shared" si="1"/>
        <v>0</v>
      </c>
      <c r="Q23">
        <f t="shared" si="2"/>
        <v>0</v>
      </c>
      <c r="R23">
        <f t="shared" si="3"/>
        <v>0</v>
      </c>
      <c r="S23">
        <f t="shared" si="4"/>
        <v>0</v>
      </c>
      <c r="T23">
        <f t="shared" si="5"/>
        <v>0</v>
      </c>
    </row>
    <row r="24" spans="1:20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  <c r="O24">
        <f t="shared" si="0"/>
        <v>1</v>
      </c>
      <c r="P24">
        <f t="shared" si="1"/>
        <v>0</v>
      </c>
      <c r="Q24">
        <f t="shared" si="2"/>
        <v>0</v>
      </c>
      <c r="R24">
        <f t="shared" si="3"/>
        <v>0</v>
      </c>
      <c r="S24">
        <f t="shared" si="4"/>
        <v>0</v>
      </c>
      <c r="T24">
        <f t="shared" si="5"/>
        <v>0</v>
      </c>
    </row>
    <row r="25" spans="1:20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  <c r="O25">
        <f t="shared" si="0"/>
        <v>1</v>
      </c>
      <c r="P25">
        <f t="shared" si="1"/>
        <v>0</v>
      </c>
      <c r="Q25">
        <f t="shared" si="2"/>
        <v>0</v>
      </c>
      <c r="R25">
        <f t="shared" si="3"/>
        <v>0</v>
      </c>
      <c r="S25">
        <f t="shared" si="4"/>
        <v>0</v>
      </c>
      <c r="T25">
        <f t="shared" si="5"/>
        <v>0</v>
      </c>
    </row>
    <row r="26" spans="1:20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  <c r="O26">
        <f t="shared" si="0"/>
        <v>0</v>
      </c>
      <c r="P26">
        <f t="shared" si="1"/>
        <v>0</v>
      </c>
      <c r="Q26">
        <f t="shared" si="2"/>
        <v>0</v>
      </c>
      <c r="R26">
        <f t="shared" si="3"/>
        <v>1</v>
      </c>
      <c r="S26">
        <f t="shared" si="4"/>
        <v>0</v>
      </c>
      <c r="T26">
        <f t="shared" si="5"/>
        <v>0</v>
      </c>
    </row>
    <row r="27" spans="1:20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  <c r="O27">
        <f t="shared" si="0"/>
        <v>0</v>
      </c>
      <c r="P27">
        <f t="shared" si="1"/>
        <v>0</v>
      </c>
      <c r="Q27">
        <f t="shared" si="2"/>
        <v>0</v>
      </c>
      <c r="R27">
        <f t="shared" si="3"/>
        <v>1</v>
      </c>
      <c r="S27">
        <f t="shared" si="4"/>
        <v>0</v>
      </c>
      <c r="T27">
        <f t="shared" si="5"/>
        <v>0</v>
      </c>
    </row>
    <row r="28" spans="1:20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  <c r="O28">
        <f t="shared" si="0"/>
        <v>0</v>
      </c>
      <c r="P28">
        <f t="shared" si="1"/>
        <v>0</v>
      </c>
      <c r="Q28">
        <f t="shared" si="2"/>
        <v>0</v>
      </c>
      <c r="R28">
        <f t="shared" si="3"/>
        <v>1</v>
      </c>
      <c r="S28">
        <f t="shared" si="4"/>
        <v>0</v>
      </c>
      <c r="T28">
        <f t="shared" si="5"/>
        <v>0</v>
      </c>
    </row>
    <row r="29" spans="1:20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  <c r="O29">
        <f t="shared" si="0"/>
        <v>0</v>
      </c>
      <c r="P29">
        <f t="shared" si="1"/>
        <v>0</v>
      </c>
      <c r="Q29">
        <f t="shared" si="2"/>
        <v>0</v>
      </c>
      <c r="R29">
        <f t="shared" si="3"/>
        <v>1</v>
      </c>
      <c r="S29">
        <f t="shared" si="4"/>
        <v>0</v>
      </c>
      <c r="T29">
        <f t="shared" si="5"/>
        <v>0</v>
      </c>
    </row>
    <row r="30" spans="1:20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  <c r="O30">
        <f t="shared" si="0"/>
        <v>0</v>
      </c>
      <c r="P30">
        <f t="shared" si="1"/>
        <v>0</v>
      </c>
      <c r="Q30">
        <f t="shared" si="2"/>
        <v>1</v>
      </c>
      <c r="R30">
        <f t="shared" si="3"/>
        <v>0</v>
      </c>
      <c r="S30">
        <f t="shared" si="4"/>
        <v>0</v>
      </c>
      <c r="T30">
        <f t="shared" si="5"/>
        <v>0</v>
      </c>
    </row>
    <row r="31" spans="1:20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  <c r="O31">
        <f t="shared" si="0"/>
        <v>0</v>
      </c>
      <c r="P31">
        <f t="shared" si="1"/>
        <v>0</v>
      </c>
      <c r="Q31">
        <f t="shared" si="2"/>
        <v>1</v>
      </c>
      <c r="R31">
        <f t="shared" si="3"/>
        <v>0</v>
      </c>
      <c r="S31">
        <f t="shared" si="4"/>
        <v>0</v>
      </c>
      <c r="T31">
        <f t="shared" si="5"/>
        <v>0</v>
      </c>
    </row>
    <row r="32" spans="1:20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  <c r="O32">
        <f t="shared" si="0"/>
        <v>0</v>
      </c>
      <c r="P32">
        <f t="shared" si="1"/>
        <v>0</v>
      </c>
      <c r="Q32">
        <f t="shared" si="2"/>
        <v>1</v>
      </c>
      <c r="R32">
        <f t="shared" si="3"/>
        <v>0</v>
      </c>
      <c r="S32">
        <f t="shared" si="4"/>
        <v>0</v>
      </c>
      <c r="T32">
        <f t="shared" si="5"/>
        <v>0</v>
      </c>
    </row>
    <row r="33" spans="1:20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  <c r="O33">
        <f t="shared" si="0"/>
        <v>0</v>
      </c>
      <c r="P33">
        <f t="shared" si="1"/>
        <v>0</v>
      </c>
      <c r="Q33">
        <f t="shared" si="2"/>
        <v>1</v>
      </c>
      <c r="R33">
        <f t="shared" si="3"/>
        <v>0</v>
      </c>
      <c r="S33">
        <f t="shared" si="4"/>
        <v>0</v>
      </c>
      <c r="T33">
        <f t="shared" si="5"/>
        <v>0</v>
      </c>
    </row>
    <row r="34" spans="1:20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  <c r="O34">
        <f t="shared" si="0"/>
        <v>1</v>
      </c>
      <c r="P34">
        <f t="shared" si="1"/>
        <v>0</v>
      </c>
      <c r="Q34">
        <f t="shared" si="2"/>
        <v>0</v>
      </c>
      <c r="R34">
        <f t="shared" si="3"/>
        <v>0</v>
      </c>
      <c r="S34">
        <f t="shared" si="4"/>
        <v>0</v>
      </c>
      <c r="T34">
        <f t="shared" si="5"/>
        <v>0</v>
      </c>
    </row>
    <row r="35" spans="1:20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 s="4">
        <v>3.9246794871794881</v>
      </c>
      <c r="M35">
        <v>799477.76000000001</v>
      </c>
      <c r="N35">
        <v>164974.41</v>
      </c>
      <c r="O35">
        <f t="shared" si="0"/>
        <v>1</v>
      </c>
      <c r="P35">
        <f t="shared" si="1"/>
        <v>0</v>
      </c>
      <c r="Q35">
        <f t="shared" si="2"/>
        <v>0</v>
      </c>
      <c r="R35">
        <f t="shared" si="3"/>
        <v>0</v>
      </c>
      <c r="S35">
        <f t="shared" si="4"/>
        <v>0</v>
      </c>
      <c r="T35">
        <f t="shared" si="5"/>
        <v>0</v>
      </c>
    </row>
    <row r="36" spans="1:20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  <c r="O36">
        <f t="shared" si="0"/>
        <v>1</v>
      </c>
      <c r="P36">
        <f t="shared" si="1"/>
        <v>0</v>
      </c>
      <c r="Q36">
        <f t="shared" si="2"/>
        <v>0</v>
      </c>
      <c r="R36">
        <f t="shared" si="3"/>
        <v>0</v>
      </c>
      <c r="S36">
        <f t="shared" si="4"/>
        <v>0</v>
      </c>
      <c r="T36">
        <f t="shared" si="5"/>
        <v>0</v>
      </c>
    </row>
    <row r="37" spans="1:20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  <c r="O37">
        <f t="shared" si="0"/>
        <v>1</v>
      </c>
      <c r="P37">
        <f t="shared" si="1"/>
        <v>0</v>
      </c>
      <c r="Q37">
        <f t="shared" si="2"/>
        <v>0</v>
      </c>
      <c r="R37">
        <f t="shared" si="3"/>
        <v>0</v>
      </c>
      <c r="S37">
        <f t="shared" si="4"/>
        <v>0</v>
      </c>
      <c r="T37">
        <f t="shared" si="5"/>
        <v>0</v>
      </c>
    </row>
    <row r="38" spans="1:20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  <c r="O38">
        <f t="shared" si="0"/>
        <v>1</v>
      </c>
      <c r="P38">
        <f t="shared" si="1"/>
        <v>0</v>
      </c>
      <c r="Q38">
        <f t="shared" si="2"/>
        <v>0</v>
      </c>
      <c r="R38">
        <f t="shared" si="3"/>
        <v>1</v>
      </c>
      <c r="S38">
        <f t="shared" si="4"/>
        <v>0</v>
      </c>
      <c r="T38">
        <f t="shared" si="5"/>
        <v>0</v>
      </c>
    </row>
    <row r="39" spans="1:20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  <c r="O39">
        <f t="shared" si="0"/>
        <v>1</v>
      </c>
      <c r="P39">
        <f t="shared" si="1"/>
        <v>0</v>
      </c>
      <c r="Q39">
        <f t="shared" si="2"/>
        <v>0</v>
      </c>
      <c r="R39">
        <f t="shared" si="3"/>
        <v>1</v>
      </c>
      <c r="S39">
        <f t="shared" si="4"/>
        <v>0</v>
      </c>
      <c r="T39">
        <f t="shared" si="5"/>
        <v>0</v>
      </c>
    </row>
    <row r="40" spans="1:20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  <c r="O40">
        <f t="shared" si="0"/>
        <v>1</v>
      </c>
      <c r="P40">
        <f t="shared" si="1"/>
        <v>0</v>
      </c>
      <c r="Q40">
        <f t="shared" si="2"/>
        <v>0</v>
      </c>
      <c r="R40">
        <f t="shared" si="3"/>
        <v>1</v>
      </c>
      <c r="S40">
        <f t="shared" si="4"/>
        <v>0</v>
      </c>
      <c r="T40">
        <f t="shared" si="5"/>
        <v>0</v>
      </c>
    </row>
    <row r="41" spans="1:20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  <c r="O41">
        <f t="shared" si="0"/>
        <v>1</v>
      </c>
      <c r="P41">
        <f t="shared" si="1"/>
        <v>0</v>
      </c>
      <c r="Q41">
        <f t="shared" si="2"/>
        <v>0</v>
      </c>
      <c r="R41">
        <f t="shared" si="3"/>
        <v>1</v>
      </c>
      <c r="S41">
        <f t="shared" si="4"/>
        <v>0</v>
      </c>
      <c r="T41">
        <f t="shared" si="5"/>
        <v>0</v>
      </c>
    </row>
    <row r="42" spans="1:20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  <c r="O42">
        <f t="shared" si="0"/>
        <v>0</v>
      </c>
      <c r="P42">
        <f t="shared" si="1"/>
        <v>0</v>
      </c>
      <c r="Q42">
        <f t="shared" si="2"/>
        <v>1</v>
      </c>
      <c r="R42">
        <f t="shared" si="3"/>
        <v>1</v>
      </c>
      <c r="S42">
        <f t="shared" si="4"/>
        <v>0</v>
      </c>
      <c r="T42">
        <f t="shared" si="5"/>
        <v>0</v>
      </c>
    </row>
    <row r="43" spans="1:20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  <c r="O43">
        <f t="shared" si="0"/>
        <v>0</v>
      </c>
      <c r="P43">
        <f t="shared" si="1"/>
        <v>0</v>
      </c>
      <c r="Q43">
        <f t="shared" si="2"/>
        <v>1</v>
      </c>
      <c r="R43">
        <f t="shared" si="3"/>
        <v>1</v>
      </c>
      <c r="S43">
        <f t="shared" si="4"/>
        <v>0</v>
      </c>
      <c r="T43">
        <f t="shared" si="5"/>
        <v>0</v>
      </c>
    </row>
    <row r="44" spans="1:20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  <c r="O44">
        <f t="shared" si="0"/>
        <v>0</v>
      </c>
      <c r="P44">
        <f t="shared" si="1"/>
        <v>0</v>
      </c>
      <c r="Q44">
        <f t="shared" si="2"/>
        <v>1</v>
      </c>
      <c r="R44">
        <f t="shared" si="3"/>
        <v>1</v>
      </c>
      <c r="S44">
        <f t="shared" si="4"/>
        <v>0</v>
      </c>
      <c r="T44">
        <f t="shared" si="5"/>
        <v>0</v>
      </c>
    </row>
    <row r="45" spans="1:20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  <c r="O45">
        <f t="shared" si="0"/>
        <v>0</v>
      </c>
      <c r="P45">
        <f t="shared" si="1"/>
        <v>0</v>
      </c>
      <c r="Q45">
        <f t="shared" si="2"/>
        <v>1</v>
      </c>
      <c r="R45">
        <f t="shared" si="3"/>
        <v>1</v>
      </c>
      <c r="S45">
        <f t="shared" si="4"/>
        <v>0</v>
      </c>
      <c r="T45">
        <f t="shared" si="5"/>
        <v>0</v>
      </c>
    </row>
    <row r="46" spans="1:20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  <c r="O46">
        <f t="shared" si="0"/>
        <v>0</v>
      </c>
      <c r="P46">
        <f t="shared" si="1"/>
        <v>0</v>
      </c>
      <c r="Q46">
        <f t="shared" si="2"/>
        <v>0</v>
      </c>
      <c r="R46">
        <f t="shared" si="3"/>
        <v>0</v>
      </c>
      <c r="S46">
        <f t="shared" si="4"/>
        <v>0</v>
      </c>
      <c r="T46">
        <f t="shared" si="5"/>
        <v>0</v>
      </c>
    </row>
    <row r="47" spans="1:20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  <c r="O47">
        <f t="shared" si="0"/>
        <v>0</v>
      </c>
      <c r="P47">
        <f t="shared" si="1"/>
        <v>0</v>
      </c>
      <c r="Q47">
        <f t="shared" si="2"/>
        <v>0</v>
      </c>
      <c r="R47">
        <f t="shared" si="3"/>
        <v>0</v>
      </c>
      <c r="S47">
        <f t="shared" si="4"/>
        <v>0</v>
      </c>
      <c r="T47">
        <f t="shared" si="5"/>
        <v>0</v>
      </c>
    </row>
    <row r="48" spans="1:20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  <c r="O48">
        <f t="shared" si="0"/>
        <v>0</v>
      </c>
      <c r="P48">
        <f t="shared" si="1"/>
        <v>0</v>
      </c>
      <c r="Q48">
        <f t="shared" si="2"/>
        <v>0</v>
      </c>
      <c r="R48">
        <f t="shared" si="3"/>
        <v>0</v>
      </c>
      <c r="S48">
        <f t="shared" si="4"/>
        <v>0</v>
      </c>
      <c r="T48">
        <f t="shared" si="5"/>
        <v>0</v>
      </c>
    </row>
    <row r="49" spans="1:20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  <c r="O49">
        <f t="shared" si="0"/>
        <v>0</v>
      </c>
      <c r="P49">
        <f t="shared" si="1"/>
        <v>0</v>
      </c>
      <c r="Q49">
        <f t="shared" si="2"/>
        <v>0</v>
      </c>
      <c r="R49">
        <f t="shared" si="3"/>
        <v>0</v>
      </c>
      <c r="S49">
        <f t="shared" si="4"/>
        <v>0</v>
      </c>
      <c r="T49">
        <f t="shared" si="5"/>
        <v>0</v>
      </c>
    </row>
    <row r="50" spans="1:20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  <c r="O50">
        <f t="shared" si="0"/>
        <v>1</v>
      </c>
      <c r="P50">
        <f t="shared" si="1"/>
        <v>0</v>
      </c>
      <c r="Q50">
        <f t="shared" si="2"/>
        <v>0</v>
      </c>
      <c r="R50">
        <f t="shared" si="3"/>
        <v>1</v>
      </c>
      <c r="S50">
        <f t="shared" si="4"/>
        <v>0</v>
      </c>
      <c r="T50">
        <f t="shared" si="5"/>
        <v>0</v>
      </c>
    </row>
    <row r="51" spans="1:20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  <c r="O51">
        <f t="shared" si="0"/>
        <v>1</v>
      </c>
      <c r="P51">
        <f t="shared" si="1"/>
        <v>0</v>
      </c>
      <c r="Q51">
        <f t="shared" si="2"/>
        <v>0</v>
      </c>
      <c r="R51">
        <f t="shared" si="3"/>
        <v>1</v>
      </c>
      <c r="S51">
        <f t="shared" si="4"/>
        <v>0</v>
      </c>
      <c r="T51">
        <f t="shared" si="5"/>
        <v>0</v>
      </c>
    </row>
    <row r="52" spans="1:20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  <c r="O52">
        <f t="shared" si="0"/>
        <v>1</v>
      </c>
      <c r="P52">
        <f t="shared" si="1"/>
        <v>0</v>
      </c>
      <c r="Q52">
        <f t="shared" si="2"/>
        <v>0</v>
      </c>
      <c r="R52">
        <f t="shared" si="3"/>
        <v>1</v>
      </c>
      <c r="S52">
        <f t="shared" si="4"/>
        <v>0</v>
      </c>
      <c r="T52">
        <f t="shared" si="5"/>
        <v>0</v>
      </c>
    </row>
    <row r="53" spans="1:20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  <c r="O53">
        <f t="shared" si="0"/>
        <v>1</v>
      </c>
      <c r="P53">
        <f t="shared" si="1"/>
        <v>0</v>
      </c>
      <c r="Q53">
        <f t="shared" si="2"/>
        <v>0</v>
      </c>
      <c r="R53">
        <f t="shared" si="3"/>
        <v>1</v>
      </c>
      <c r="S53">
        <f t="shared" si="4"/>
        <v>0</v>
      </c>
      <c r="T53">
        <f t="shared" si="5"/>
        <v>0</v>
      </c>
    </row>
    <row r="54" spans="1:20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  <c r="O54">
        <f t="shared" si="0"/>
        <v>0</v>
      </c>
      <c r="P54">
        <f t="shared" si="1"/>
        <v>0</v>
      </c>
      <c r="Q54">
        <f t="shared" si="2"/>
        <v>0</v>
      </c>
      <c r="R54">
        <f t="shared" si="3"/>
        <v>0</v>
      </c>
      <c r="S54">
        <f t="shared" si="4"/>
        <v>1</v>
      </c>
      <c r="T54">
        <f t="shared" si="5"/>
        <v>0</v>
      </c>
    </row>
    <row r="55" spans="1:20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  <c r="O55">
        <f t="shared" si="0"/>
        <v>0</v>
      </c>
      <c r="P55">
        <f t="shared" si="1"/>
        <v>0</v>
      </c>
      <c r="Q55">
        <f t="shared" si="2"/>
        <v>0</v>
      </c>
      <c r="R55">
        <f t="shared" si="3"/>
        <v>0</v>
      </c>
      <c r="S55">
        <f t="shared" si="4"/>
        <v>1</v>
      </c>
      <c r="T55">
        <f t="shared" si="5"/>
        <v>0</v>
      </c>
    </row>
    <row r="56" spans="1:20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  <c r="O56">
        <f t="shared" si="0"/>
        <v>0</v>
      </c>
      <c r="P56">
        <f t="shared" si="1"/>
        <v>0</v>
      </c>
      <c r="Q56">
        <f t="shared" si="2"/>
        <v>0</v>
      </c>
      <c r="R56">
        <f t="shared" si="3"/>
        <v>0</v>
      </c>
      <c r="S56">
        <f t="shared" si="4"/>
        <v>1</v>
      </c>
      <c r="T56">
        <f t="shared" si="5"/>
        <v>0</v>
      </c>
    </row>
    <row r="57" spans="1:20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  <c r="O57">
        <f t="shared" si="0"/>
        <v>0</v>
      </c>
      <c r="P57">
        <f t="shared" si="1"/>
        <v>0</v>
      </c>
      <c r="Q57">
        <f t="shared" si="2"/>
        <v>0</v>
      </c>
      <c r="R57">
        <f t="shared" si="3"/>
        <v>0</v>
      </c>
      <c r="S57">
        <f t="shared" si="4"/>
        <v>1</v>
      </c>
      <c r="T57">
        <f t="shared" si="5"/>
        <v>0</v>
      </c>
    </row>
    <row r="58" spans="1:20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  <c r="O58">
        <f t="shared" si="0"/>
        <v>0</v>
      </c>
      <c r="P58">
        <f t="shared" si="1"/>
        <v>0</v>
      </c>
      <c r="Q58">
        <f t="shared" si="2"/>
        <v>1</v>
      </c>
      <c r="R58">
        <f t="shared" si="3"/>
        <v>0</v>
      </c>
      <c r="S58">
        <f t="shared" si="4"/>
        <v>0</v>
      </c>
      <c r="T58">
        <f t="shared" si="5"/>
        <v>1</v>
      </c>
    </row>
    <row r="59" spans="1:20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  <c r="O59">
        <f t="shared" si="0"/>
        <v>0</v>
      </c>
      <c r="P59">
        <f t="shared" si="1"/>
        <v>0</v>
      </c>
      <c r="Q59">
        <f t="shared" si="2"/>
        <v>1</v>
      </c>
      <c r="R59">
        <f t="shared" si="3"/>
        <v>0</v>
      </c>
      <c r="S59">
        <f t="shared" si="4"/>
        <v>0</v>
      </c>
      <c r="T59">
        <f t="shared" si="5"/>
        <v>1</v>
      </c>
    </row>
    <row r="60" spans="1:20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  <c r="O60">
        <f t="shared" si="0"/>
        <v>0</v>
      </c>
      <c r="P60">
        <f t="shared" si="1"/>
        <v>0</v>
      </c>
      <c r="Q60">
        <f t="shared" si="2"/>
        <v>1</v>
      </c>
      <c r="R60">
        <f t="shared" si="3"/>
        <v>0</v>
      </c>
      <c r="S60">
        <f t="shared" si="4"/>
        <v>0</v>
      </c>
      <c r="T60">
        <f t="shared" si="5"/>
        <v>1</v>
      </c>
    </row>
    <row r="61" spans="1:20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  <c r="O61">
        <f t="shared" si="0"/>
        <v>0</v>
      </c>
      <c r="P61">
        <f t="shared" si="1"/>
        <v>0</v>
      </c>
      <c r="Q61">
        <f t="shared" si="2"/>
        <v>1</v>
      </c>
      <c r="R61">
        <f t="shared" si="3"/>
        <v>0</v>
      </c>
      <c r="S61">
        <f t="shared" si="4"/>
        <v>0</v>
      </c>
      <c r="T61">
        <f t="shared" si="5"/>
        <v>1</v>
      </c>
    </row>
    <row r="62" spans="1:20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  <c r="O62">
        <f t="shared" si="0"/>
        <v>0</v>
      </c>
      <c r="P62">
        <f t="shared" si="1"/>
        <v>1</v>
      </c>
      <c r="Q62">
        <f t="shared" si="2"/>
        <v>0</v>
      </c>
      <c r="R62">
        <f t="shared" si="3"/>
        <v>0</v>
      </c>
      <c r="S62">
        <f t="shared" si="4"/>
        <v>1</v>
      </c>
      <c r="T62">
        <f t="shared" si="5"/>
        <v>0</v>
      </c>
    </row>
    <row r="63" spans="1:20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  <c r="O63">
        <f t="shared" si="0"/>
        <v>0</v>
      </c>
      <c r="P63">
        <f t="shared" si="1"/>
        <v>1</v>
      </c>
      <c r="Q63">
        <f t="shared" si="2"/>
        <v>0</v>
      </c>
      <c r="R63">
        <f t="shared" si="3"/>
        <v>0</v>
      </c>
      <c r="S63">
        <f t="shared" si="4"/>
        <v>1</v>
      </c>
      <c r="T63">
        <f t="shared" si="5"/>
        <v>0</v>
      </c>
    </row>
    <row r="64" spans="1:20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  <c r="O64">
        <f t="shared" si="0"/>
        <v>0</v>
      </c>
      <c r="P64">
        <f t="shared" si="1"/>
        <v>1</v>
      </c>
      <c r="Q64">
        <f t="shared" si="2"/>
        <v>0</v>
      </c>
      <c r="R64">
        <f t="shared" si="3"/>
        <v>0</v>
      </c>
      <c r="S64">
        <f t="shared" si="4"/>
        <v>1</v>
      </c>
      <c r="T64">
        <f t="shared" si="5"/>
        <v>0</v>
      </c>
    </row>
    <row r="65" spans="1:20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  <c r="O65">
        <f t="shared" si="0"/>
        <v>0</v>
      </c>
      <c r="P65">
        <f t="shared" si="1"/>
        <v>1</v>
      </c>
      <c r="Q65">
        <f t="shared" si="2"/>
        <v>0</v>
      </c>
      <c r="R65">
        <f t="shared" si="3"/>
        <v>0</v>
      </c>
      <c r="S65">
        <f t="shared" si="4"/>
        <v>1</v>
      </c>
      <c r="T65">
        <f t="shared" si="5"/>
        <v>0</v>
      </c>
    </row>
    <row r="66" spans="1:20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  <c r="O66">
        <f t="shared" si="0"/>
        <v>0</v>
      </c>
      <c r="P66">
        <f t="shared" si="1"/>
        <v>0</v>
      </c>
      <c r="Q66">
        <f t="shared" si="2"/>
        <v>0</v>
      </c>
      <c r="R66">
        <f t="shared" si="3"/>
        <v>0</v>
      </c>
      <c r="S66">
        <f t="shared" si="4"/>
        <v>1</v>
      </c>
      <c r="T66">
        <f t="shared" si="5"/>
        <v>0</v>
      </c>
    </row>
    <row r="67" spans="1:20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  <c r="O67">
        <f t="shared" ref="O67:O130" si="6">IF(C67="North",1,0)</f>
        <v>0</v>
      </c>
      <c r="P67">
        <f t="shared" ref="P67:P130" si="7">IF(C67="South",1,0)</f>
        <v>0</v>
      </c>
      <c r="Q67">
        <f t="shared" ref="Q67:Q130" si="8">IF(C67="East",1,0)</f>
        <v>0</v>
      </c>
      <c r="R67">
        <f t="shared" ref="R67:R130" si="9">IF(D67="Mall",1,0)</f>
        <v>0</v>
      </c>
      <c r="S67">
        <f t="shared" ref="S67:S130" si="10">IF(D67="High Street",1,0)</f>
        <v>1</v>
      </c>
      <c r="T67">
        <f t="shared" ref="T67:T130" si="11">IF(D67="Airport",1,0)</f>
        <v>0</v>
      </c>
    </row>
    <row r="68" spans="1:20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  <c r="O68">
        <f t="shared" si="6"/>
        <v>0</v>
      </c>
      <c r="P68">
        <f t="shared" si="7"/>
        <v>0</v>
      </c>
      <c r="Q68">
        <f t="shared" si="8"/>
        <v>0</v>
      </c>
      <c r="R68">
        <f t="shared" si="9"/>
        <v>0</v>
      </c>
      <c r="S68">
        <f t="shared" si="10"/>
        <v>1</v>
      </c>
      <c r="T68">
        <f t="shared" si="11"/>
        <v>0</v>
      </c>
    </row>
    <row r="69" spans="1:20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  <c r="O69">
        <f t="shared" si="6"/>
        <v>0</v>
      </c>
      <c r="P69">
        <f t="shared" si="7"/>
        <v>0</v>
      </c>
      <c r="Q69">
        <f t="shared" si="8"/>
        <v>0</v>
      </c>
      <c r="R69">
        <f t="shared" si="9"/>
        <v>0</v>
      </c>
      <c r="S69">
        <f t="shared" si="10"/>
        <v>1</v>
      </c>
      <c r="T69">
        <f t="shared" si="11"/>
        <v>0</v>
      </c>
    </row>
    <row r="70" spans="1:20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  <c r="O70">
        <f t="shared" si="6"/>
        <v>0</v>
      </c>
      <c r="P70">
        <f t="shared" si="7"/>
        <v>0</v>
      </c>
      <c r="Q70">
        <f t="shared" si="8"/>
        <v>1</v>
      </c>
      <c r="R70">
        <f t="shared" si="9"/>
        <v>0</v>
      </c>
      <c r="S70">
        <f t="shared" si="10"/>
        <v>1</v>
      </c>
      <c r="T70">
        <f t="shared" si="11"/>
        <v>0</v>
      </c>
    </row>
    <row r="71" spans="1:20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  <c r="O71">
        <f t="shared" si="6"/>
        <v>0</v>
      </c>
      <c r="P71">
        <f t="shared" si="7"/>
        <v>0</v>
      </c>
      <c r="Q71">
        <f t="shared" si="8"/>
        <v>1</v>
      </c>
      <c r="R71">
        <f t="shared" si="9"/>
        <v>0</v>
      </c>
      <c r="S71">
        <f t="shared" si="10"/>
        <v>1</v>
      </c>
      <c r="T71">
        <f t="shared" si="11"/>
        <v>0</v>
      </c>
    </row>
    <row r="72" spans="1:20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  <c r="O72">
        <f t="shared" si="6"/>
        <v>0</v>
      </c>
      <c r="P72">
        <f t="shared" si="7"/>
        <v>0</v>
      </c>
      <c r="Q72">
        <f t="shared" si="8"/>
        <v>1</v>
      </c>
      <c r="R72">
        <f t="shared" si="9"/>
        <v>0</v>
      </c>
      <c r="S72">
        <f t="shared" si="10"/>
        <v>1</v>
      </c>
      <c r="T72">
        <f t="shared" si="11"/>
        <v>0</v>
      </c>
    </row>
    <row r="73" spans="1:20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3.3650000000000002</v>
      </c>
      <c r="K73">
        <v>0</v>
      </c>
      <c r="L73">
        <v>3.5</v>
      </c>
      <c r="M73">
        <v>674774.09</v>
      </c>
      <c r="N73">
        <v>141917.59</v>
      </c>
      <c r="O73">
        <f t="shared" si="6"/>
        <v>0</v>
      </c>
      <c r="P73">
        <f t="shared" si="7"/>
        <v>0</v>
      </c>
      <c r="Q73">
        <f t="shared" si="8"/>
        <v>1</v>
      </c>
      <c r="R73">
        <f t="shared" si="9"/>
        <v>0</v>
      </c>
      <c r="S73">
        <f t="shared" si="10"/>
        <v>1</v>
      </c>
      <c r="T73">
        <f t="shared" si="11"/>
        <v>0</v>
      </c>
    </row>
    <row r="74" spans="1:20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  <c r="O74">
        <f t="shared" si="6"/>
        <v>0</v>
      </c>
      <c r="P74">
        <f t="shared" si="7"/>
        <v>0</v>
      </c>
      <c r="Q74">
        <f t="shared" si="8"/>
        <v>1</v>
      </c>
      <c r="R74">
        <f t="shared" si="9"/>
        <v>0</v>
      </c>
      <c r="S74">
        <f t="shared" si="10"/>
        <v>0</v>
      </c>
      <c r="T74">
        <f t="shared" si="11"/>
        <v>0</v>
      </c>
    </row>
    <row r="75" spans="1:20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  <c r="O75">
        <f t="shared" si="6"/>
        <v>0</v>
      </c>
      <c r="P75">
        <f t="shared" si="7"/>
        <v>0</v>
      </c>
      <c r="Q75">
        <f t="shared" si="8"/>
        <v>1</v>
      </c>
      <c r="R75">
        <f t="shared" si="9"/>
        <v>0</v>
      </c>
      <c r="S75">
        <f t="shared" si="10"/>
        <v>0</v>
      </c>
      <c r="T75">
        <f t="shared" si="11"/>
        <v>0</v>
      </c>
    </row>
    <row r="76" spans="1:20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  <c r="O76">
        <f t="shared" si="6"/>
        <v>0</v>
      </c>
      <c r="P76">
        <f t="shared" si="7"/>
        <v>0</v>
      </c>
      <c r="Q76">
        <f t="shared" si="8"/>
        <v>1</v>
      </c>
      <c r="R76">
        <f t="shared" si="9"/>
        <v>0</v>
      </c>
      <c r="S76">
        <f t="shared" si="10"/>
        <v>0</v>
      </c>
      <c r="T76">
        <f t="shared" si="11"/>
        <v>0</v>
      </c>
    </row>
    <row r="77" spans="1:20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  <c r="O77">
        <f t="shared" si="6"/>
        <v>0</v>
      </c>
      <c r="P77">
        <f t="shared" si="7"/>
        <v>0</v>
      </c>
      <c r="Q77">
        <f t="shared" si="8"/>
        <v>1</v>
      </c>
      <c r="R77">
        <f t="shared" si="9"/>
        <v>0</v>
      </c>
      <c r="S77">
        <f t="shared" si="10"/>
        <v>0</v>
      </c>
      <c r="T77">
        <f t="shared" si="11"/>
        <v>0</v>
      </c>
    </row>
    <row r="78" spans="1:20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  <c r="O78">
        <f t="shared" si="6"/>
        <v>0</v>
      </c>
      <c r="P78">
        <f t="shared" si="7"/>
        <v>1</v>
      </c>
      <c r="Q78">
        <f t="shared" si="8"/>
        <v>0</v>
      </c>
      <c r="R78">
        <f t="shared" si="9"/>
        <v>0</v>
      </c>
      <c r="S78">
        <f t="shared" si="10"/>
        <v>1</v>
      </c>
      <c r="T78">
        <f t="shared" si="11"/>
        <v>0</v>
      </c>
    </row>
    <row r="79" spans="1:20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  <c r="O79">
        <f t="shared" si="6"/>
        <v>0</v>
      </c>
      <c r="P79">
        <f t="shared" si="7"/>
        <v>1</v>
      </c>
      <c r="Q79">
        <f t="shared" si="8"/>
        <v>0</v>
      </c>
      <c r="R79">
        <f t="shared" si="9"/>
        <v>0</v>
      </c>
      <c r="S79">
        <f t="shared" si="10"/>
        <v>1</v>
      </c>
      <c r="T79">
        <f t="shared" si="11"/>
        <v>0</v>
      </c>
    </row>
    <row r="80" spans="1:20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  <c r="O80">
        <f t="shared" si="6"/>
        <v>0</v>
      </c>
      <c r="P80">
        <f t="shared" si="7"/>
        <v>1</v>
      </c>
      <c r="Q80">
        <f t="shared" si="8"/>
        <v>0</v>
      </c>
      <c r="R80">
        <f t="shared" si="9"/>
        <v>0</v>
      </c>
      <c r="S80">
        <f t="shared" si="10"/>
        <v>1</v>
      </c>
      <c r="T80">
        <f t="shared" si="11"/>
        <v>0</v>
      </c>
    </row>
    <row r="81" spans="1:20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  <c r="O81">
        <f t="shared" si="6"/>
        <v>0</v>
      </c>
      <c r="P81">
        <f t="shared" si="7"/>
        <v>1</v>
      </c>
      <c r="Q81">
        <f t="shared" si="8"/>
        <v>0</v>
      </c>
      <c r="R81">
        <f t="shared" si="9"/>
        <v>0</v>
      </c>
      <c r="S81">
        <f t="shared" si="10"/>
        <v>1</v>
      </c>
      <c r="T81">
        <f t="shared" si="11"/>
        <v>0</v>
      </c>
    </row>
    <row r="82" spans="1:20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  <c r="O82">
        <f t="shared" si="6"/>
        <v>0</v>
      </c>
      <c r="P82">
        <f t="shared" si="7"/>
        <v>0</v>
      </c>
      <c r="Q82">
        <f t="shared" si="8"/>
        <v>0</v>
      </c>
      <c r="R82">
        <f t="shared" si="9"/>
        <v>1</v>
      </c>
      <c r="S82">
        <f t="shared" si="10"/>
        <v>0</v>
      </c>
      <c r="T82">
        <f t="shared" si="11"/>
        <v>0</v>
      </c>
    </row>
    <row r="83" spans="1:20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  <c r="O83">
        <f t="shared" si="6"/>
        <v>0</v>
      </c>
      <c r="P83">
        <f t="shared" si="7"/>
        <v>0</v>
      </c>
      <c r="Q83">
        <f t="shared" si="8"/>
        <v>0</v>
      </c>
      <c r="R83">
        <f t="shared" si="9"/>
        <v>1</v>
      </c>
      <c r="S83">
        <f t="shared" si="10"/>
        <v>0</v>
      </c>
      <c r="T83">
        <f t="shared" si="11"/>
        <v>0</v>
      </c>
    </row>
    <row r="84" spans="1:20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  <c r="O84">
        <f t="shared" si="6"/>
        <v>0</v>
      </c>
      <c r="P84">
        <f t="shared" si="7"/>
        <v>0</v>
      </c>
      <c r="Q84">
        <f t="shared" si="8"/>
        <v>0</v>
      </c>
      <c r="R84">
        <f t="shared" si="9"/>
        <v>1</v>
      </c>
      <c r="S84">
        <f t="shared" si="10"/>
        <v>0</v>
      </c>
      <c r="T84">
        <f t="shared" si="11"/>
        <v>0</v>
      </c>
    </row>
    <row r="85" spans="1:20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  <c r="O85">
        <f t="shared" si="6"/>
        <v>0</v>
      </c>
      <c r="P85">
        <f t="shared" si="7"/>
        <v>0</v>
      </c>
      <c r="Q85">
        <f t="shared" si="8"/>
        <v>0</v>
      </c>
      <c r="R85">
        <f t="shared" si="9"/>
        <v>1</v>
      </c>
      <c r="S85">
        <f t="shared" si="10"/>
        <v>0</v>
      </c>
      <c r="T85">
        <f t="shared" si="11"/>
        <v>0</v>
      </c>
    </row>
    <row r="86" spans="1:20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  <c r="O86">
        <f t="shared" si="6"/>
        <v>0</v>
      </c>
      <c r="P86">
        <f t="shared" si="7"/>
        <v>0</v>
      </c>
      <c r="Q86">
        <f t="shared" si="8"/>
        <v>0</v>
      </c>
      <c r="R86">
        <f t="shared" si="9"/>
        <v>0</v>
      </c>
      <c r="S86">
        <f t="shared" si="10"/>
        <v>1</v>
      </c>
      <c r="T86">
        <f t="shared" si="11"/>
        <v>0</v>
      </c>
    </row>
    <row r="87" spans="1:20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 s="4">
        <v>3.9246794871794881</v>
      </c>
      <c r="M87">
        <v>611766.72</v>
      </c>
      <c r="N87">
        <v>88275.61</v>
      </c>
      <c r="O87">
        <f t="shared" si="6"/>
        <v>0</v>
      </c>
      <c r="P87">
        <f t="shared" si="7"/>
        <v>0</v>
      </c>
      <c r="Q87">
        <f t="shared" si="8"/>
        <v>0</v>
      </c>
      <c r="R87">
        <f t="shared" si="9"/>
        <v>0</v>
      </c>
      <c r="S87">
        <f t="shared" si="10"/>
        <v>1</v>
      </c>
      <c r="T87">
        <f t="shared" si="11"/>
        <v>0</v>
      </c>
    </row>
    <row r="88" spans="1:20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  <c r="O88">
        <f t="shared" si="6"/>
        <v>0</v>
      </c>
      <c r="P88">
        <f t="shared" si="7"/>
        <v>0</v>
      </c>
      <c r="Q88">
        <f t="shared" si="8"/>
        <v>0</v>
      </c>
      <c r="R88">
        <f t="shared" si="9"/>
        <v>0</v>
      </c>
      <c r="S88">
        <f t="shared" si="10"/>
        <v>1</v>
      </c>
      <c r="T88">
        <f t="shared" si="11"/>
        <v>0</v>
      </c>
    </row>
    <row r="89" spans="1:20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  <c r="O89">
        <f t="shared" si="6"/>
        <v>0</v>
      </c>
      <c r="P89">
        <f t="shared" si="7"/>
        <v>0</v>
      </c>
      <c r="Q89">
        <f t="shared" si="8"/>
        <v>0</v>
      </c>
      <c r="R89">
        <f t="shared" si="9"/>
        <v>0</v>
      </c>
      <c r="S89">
        <f t="shared" si="10"/>
        <v>1</v>
      </c>
      <c r="T89">
        <f t="shared" si="11"/>
        <v>0</v>
      </c>
    </row>
    <row r="90" spans="1:20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  <c r="O90">
        <f t="shared" si="6"/>
        <v>0</v>
      </c>
      <c r="P90">
        <f t="shared" si="7"/>
        <v>1</v>
      </c>
      <c r="Q90">
        <f t="shared" si="8"/>
        <v>0</v>
      </c>
      <c r="R90">
        <f t="shared" si="9"/>
        <v>1</v>
      </c>
      <c r="S90">
        <f t="shared" si="10"/>
        <v>0</v>
      </c>
      <c r="T90">
        <f t="shared" si="11"/>
        <v>0</v>
      </c>
    </row>
    <row r="91" spans="1:20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  <c r="O91">
        <f t="shared" si="6"/>
        <v>0</v>
      </c>
      <c r="P91">
        <f t="shared" si="7"/>
        <v>1</v>
      </c>
      <c r="Q91">
        <f t="shared" si="8"/>
        <v>0</v>
      </c>
      <c r="R91">
        <f t="shared" si="9"/>
        <v>1</v>
      </c>
      <c r="S91">
        <f t="shared" si="10"/>
        <v>0</v>
      </c>
      <c r="T91">
        <f t="shared" si="11"/>
        <v>0</v>
      </c>
    </row>
    <row r="92" spans="1:20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  <c r="O92">
        <f t="shared" si="6"/>
        <v>0</v>
      </c>
      <c r="P92">
        <f t="shared" si="7"/>
        <v>1</v>
      </c>
      <c r="Q92">
        <f t="shared" si="8"/>
        <v>0</v>
      </c>
      <c r="R92">
        <f t="shared" si="9"/>
        <v>1</v>
      </c>
      <c r="S92">
        <f t="shared" si="10"/>
        <v>0</v>
      </c>
      <c r="T92">
        <f t="shared" si="11"/>
        <v>0</v>
      </c>
    </row>
    <row r="93" spans="1:20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  <c r="O93">
        <f t="shared" si="6"/>
        <v>0</v>
      </c>
      <c r="P93">
        <f t="shared" si="7"/>
        <v>1</v>
      </c>
      <c r="Q93">
        <f t="shared" si="8"/>
        <v>0</v>
      </c>
      <c r="R93">
        <f t="shared" si="9"/>
        <v>1</v>
      </c>
      <c r="S93">
        <f t="shared" si="10"/>
        <v>0</v>
      </c>
      <c r="T93">
        <f t="shared" si="11"/>
        <v>0</v>
      </c>
    </row>
    <row r="94" spans="1:20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  <c r="O94">
        <f t="shared" si="6"/>
        <v>0</v>
      </c>
      <c r="P94">
        <f t="shared" si="7"/>
        <v>0</v>
      </c>
      <c r="Q94">
        <f t="shared" si="8"/>
        <v>0</v>
      </c>
      <c r="R94">
        <f t="shared" si="9"/>
        <v>0</v>
      </c>
      <c r="S94">
        <f t="shared" si="10"/>
        <v>0</v>
      </c>
      <c r="T94">
        <f t="shared" si="11"/>
        <v>0</v>
      </c>
    </row>
    <row r="95" spans="1:20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  <c r="O95">
        <f t="shared" si="6"/>
        <v>0</v>
      </c>
      <c r="P95">
        <f t="shared" si="7"/>
        <v>0</v>
      </c>
      <c r="Q95">
        <f t="shared" si="8"/>
        <v>0</v>
      </c>
      <c r="R95">
        <f t="shared" si="9"/>
        <v>0</v>
      </c>
      <c r="S95">
        <f t="shared" si="10"/>
        <v>0</v>
      </c>
      <c r="T95">
        <f t="shared" si="11"/>
        <v>0</v>
      </c>
    </row>
    <row r="96" spans="1:20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  <c r="O96">
        <f t="shared" si="6"/>
        <v>0</v>
      </c>
      <c r="P96">
        <f t="shared" si="7"/>
        <v>0</v>
      </c>
      <c r="Q96">
        <f t="shared" si="8"/>
        <v>0</v>
      </c>
      <c r="R96">
        <f t="shared" si="9"/>
        <v>0</v>
      </c>
      <c r="S96">
        <f t="shared" si="10"/>
        <v>0</v>
      </c>
      <c r="T96">
        <f t="shared" si="11"/>
        <v>0</v>
      </c>
    </row>
    <row r="97" spans="1:20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  <c r="O97">
        <f t="shared" si="6"/>
        <v>0</v>
      </c>
      <c r="P97">
        <f t="shared" si="7"/>
        <v>0</v>
      </c>
      <c r="Q97">
        <f t="shared" si="8"/>
        <v>0</v>
      </c>
      <c r="R97">
        <f t="shared" si="9"/>
        <v>0</v>
      </c>
      <c r="S97">
        <f t="shared" si="10"/>
        <v>0</v>
      </c>
      <c r="T97">
        <f t="shared" si="11"/>
        <v>0</v>
      </c>
    </row>
    <row r="98" spans="1:20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  <c r="O98">
        <f t="shared" si="6"/>
        <v>0</v>
      </c>
      <c r="P98">
        <f t="shared" si="7"/>
        <v>0</v>
      </c>
      <c r="Q98">
        <f t="shared" si="8"/>
        <v>0</v>
      </c>
      <c r="R98">
        <f t="shared" si="9"/>
        <v>1</v>
      </c>
      <c r="S98">
        <f t="shared" si="10"/>
        <v>0</v>
      </c>
      <c r="T98">
        <f t="shared" si="11"/>
        <v>0</v>
      </c>
    </row>
    <row r="99" spans="1:20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  <c r="O99">
        <f t="shared" si="6"/>
        <v>0</v>
      </c>
      <c r="P99">
        <f t="shared" si="7"/>
        <v>0</v>
      </c>
      <c r="Q99">
        <f t="shared" si="8"/>
        <v>0</v>
      </c>
      <c r="R99">
        <f t="shared" si="9"/>
        <v>1</v>
      </c>
      <c r="S99">
        <f t="shared" si="10"/>
        <v>0</v>
      </c>
      <c r="T99">
        <f t="shared" si="11"/>
        <v>0</v>
      </c>
    </row>
    <row r="100" spans="1:20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3.3650000000000002</v>
      </c>
      <c r="K100">
        <v>0</v>
      </c>
      <c r="L100">
        <v>4.3</v>
      </c>
      <c r="M100">
        <v>605775.32999999996</v>
      </c>
      <c r="N100">
        <v>107194.6</v>
      </c>
      <c r="O100">
        <f t="shared" si="6"/>
        <v>0</v>
      </c>
      <c r="P100">
        <f t="shared" si="7"/>
        <v>0</v>
      </c>
      <c r="Q100">
        <f t="shared" si="8"/>
        <v>0</v>
      </c>
      <c r="R100">
        <f t="shared" si="9"/>
        <v>1</v>
      </c>
      <c r="S100">
        <f t="shared" si="10"/>
        <v>0</v>
      </c>
      <c r="T100">
        <f t="shared" si="11"/>
        <v>0</v>
      </c>
    </row>
    <row r="101" spans="1:20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  <c r="O101">
        <f t="shared" si="6"/>
        <v>0</v>
      </c>
      <c r="P101">
        <f t="shared" si="7"/>
        <v>0</v>
      </c>
      <c r="Q101">
        <f t="shared" si="8"/>
        <v>0</v>
      </c>
      <c r="R101">
        <f t="shared" si="9"/>
        <v>1</v>
      </c>
      <c r="S101">
        <f t="shared" si="10"/>
        <v>0</v>
      </c>
      <c r="T101">
        <f t="shared" si="11"/>
        <v>0</v>
      </c>
    </row>
    <row r="102" spans="1:20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  <c r="O102">
        <f t="shared" si="6"/>
        <v>0</v>
      </c>
      <c r="P102">
        <f t="shared" si="7"/>
        <v>0</v>
      </c>
      <c r="Q102">
        <f t="shared" si="8"/>
        <v>1</v>
      </c>
      <c r="R102">
        <f t="shared" si="9"/>
        <v>1</v>
      </c>
      <c r="S102">
        <f t="shared" si="10"/>
        <v>0</v>
      </c>
      <c r="T102">
        <f t="shared" si="11"/>
        <v>0</v>
      </c>
    </row>
    <row r="103" spans="1:20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  <c r="O103">
        <f t="shared" si="6"/>
        <v>0</v>
      </c>
      <c r="P103">
        <f t="shared" si="7"/>
        <v>0</v>
      </c>
      <c r="Q103">
        <f t="shared" si="8"/>
        <v>1</v>
      </c>
      <c r="R103">
        <f t="shared" si="9"/>
        <v>1</v>
      </c>
      <c r="S103">
        <f t="shared" si="10"/>
        <v>0</v>
      </c>
      <c r="T103">
        <f t="shared" si="11"/>
        <v>0</v>
      </c>
    </row>
    <row r="104" spans="1:20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  <c r="O104">
        <f t="shared" si="6"/>
        <v>0</v>
      </c>
      <c r="P104">
        <f t="shared" si="7"/>
        <v>0</v>
      </c>
      <c r="Q104">
        <f t="shared" si="8"/>
        <v>1</v>
      </c>
      <c r="R104">
        <f t="shared" si="9"/>
        <v>1</v>
      </c>
      <c r="S104">
        <f t="shared" si="10"/>
        <v>0</v>
      </c>
      <c r="T104">
        <f t="shared" si="11"/>
        <v>0</v>
      </c>
    </row>
    <row r="105" spans="1:20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  <c r="O105">
        <f t="shared" si="6"/>
        <v>0</v>
      </c>
      <c r="P105">
        <f t="shared" si="7"/>
        <v>0</v>
      </c>
      <c r="Q105">
        <f t="shared" si="8"/>
        <v>1</v>
      </c>
      <c r="R105">
        <f t="shared" si="9"/>
        <v>1</v>
      </c>
      <c r="S105">
        <f t="shared" si="10"/>
        <v>0</v>
      </c>
      <c r="T105">
        <f t="shared" si="11"/>
        <v>0</v>
      </c>
    </row>
    <row r="106" spans="1:20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  <c r="O106">
        <f t="shared" si="6"/>
        <v>0</v>
      </c>
      <c r="P106">
        <f t="shared" si="7"/>
        <v>0</v>
      </c>
      <c r="Q106">
        <f t="shared" si="8"/>
        <v>0</v>
      </c>
      <c r="R106">
        <f t="shared" si="9"/>
        <v>0</v>
      </c>
      <c r="S106">
        <f t="shared" si="10"/>
        <v>1</v>
      </c>
      <c r="T106">
        <f t="shared" si="11"/>
        <v>0</v>
      </c>
    </row>
    <row r="107" spans="1:20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  <c r="O107">
        <f t="shared" si="6"/>
        <v>0</v>
      </c>
      <c r="P107">
        <f t="shared" si="7"/>
        <v>0</v>
      </c>
      <c r="Q107">
        <f t="shared" si="8"/>
        <v>0</v>
      </c>
      <c r="R107">
        <f t="shared" si="9"/>
        <v>0</v>
      </c>
      <c r="S107">
        <f t="shared" si="10"/>
        <v>1</v>
      </c>
      <c r="T107">
        <f t="shared" si="11"/>
        <v>0</v>
      </c>
    </row>
    <row r="108" spans="1:20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  <c r="O108">
        <f t="shared" si="6"/>
        <v>0</v>
      </c>
      <c r="P108">
        <f t="shared" si="7"/>
        <v>0</v>
      </c>
      <c r="Q108">
        <f t="shared" si="8"/>
        <v>0</v>
      </c>
      <c r="R108">
        <f t="shared" si="9"/>
        <v>0</v>
      </c>
      <c r="S108">
        <f t="shared" si="10"/>
        <v>1</v>
      </c>
      <c r="T108">
        <f t="shared" si="11"/>
        <v>0</v>
      </c>
    </row>
    <row r="109" spans="1:20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  <c r="O109">
        <f t="shared" si="6"/>
        <v>0</v>
      </c>
      <c r="P109">
        <f t="shared" si="7"/>
        <v>0</v>
      </c>
      <c r="Q109">
        <f t="shared" si="8"/>
        <v>0</v>
      </c>
      <c r="R109">
        <f t="shared" si="9"/>
        <v>0</v>
      </c>
      <c r="S109">
        <f t="shared" si="10"/>
        <v>1</v>
      </c>
      <c r="T109">
        <f t="shared" si="11"/>
        <v>0</v>
      </c>
    </row>
    <row r="110" spans="1:20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  <c r="O110">
        <f t="shared" si="6"/>
        <v>0</v>
      </c>
      <c r="P110">
        <f t="shared" si="7"/>
        <v>0</v>
      </c>
      <c r="Q110">
        <f t="shared" si="8"/>
        <v>1</v>
      </c>
      <c r="R110">
        <f t="shared" si="9"/>
        <v>1</v>
      </c>
      <c r="S110">
        <f t="shared" si="10"/>
        <v>0</v>
      </c>
      <c r="T110">
        <f t="shared" si="11"/>
        <v>0</v>
      </c>
    </row>
    <row r="111" spans="1:20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  <c r="O111">
        <f t="shared" si="6"/>
        <v>0</v>
      </c>
      <c r="P111">
        <f t="shared" si="7"/>
        <v>0</v>
      </c>
      <c r="Q111">
        <f t="shared" si="8"/>
        <v>1</v>
      </c>
      <c r="R111">
        <f t="shared" si="9"/>
        <v>1</v>
      </c>
      <c r="S111">
        <f t="shared" si="10"/>
        <v>0</v>
      </c>
      <c r="T111">
        <f t="shared" si="11"/>
        <v>0</v>
      </c>
    </row>
    <row r="112" spans="1:20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  <c r="O112">
        <f t="shared" si="6"/>
        <v>0</v>
      </c>
      <c r="P112">
        <f t="shared" si="7"/>
        <v>0</v>
      </c>
      <c r="Q112">
        <f t="shared" si="8"/>
        <v>1</v>
      </c>
      <c r="R112">
        <f t="shared" si="9"/>
        <v>1</v>
      </c>
      <c r="S112">
        <f t="shared" si="10"/>
        <v>0</v>
      </c>
      <c r="T112">
        <f t="shared" si="11"/>
        <v>0</v>
      </c>
    </row>
    <row r="113" spans="1:20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  <c r="O113">
        <f t="shared" si="6"/>
        <v>0</v>
      </c>
      <c r="P113">
        <f t="shared" si="7"/>
        <v>0</v>
      </c>
      <c r="Q113">
        <f t="shared" si="8"/>
        <v>1</v>
      </c>
      <c r="R113">
        <f t="shared" si="9"/>
        <v>1</v>
      </c>
      <c r="S113">
        <f t="shared" si="10"/>
        <v>0</v>
      </c>
      <c r="T113">
        <f t="shared" si="11"/>
        <v>0</v>
      </c>
    </row>
    <row r="114" spans="1:20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  <c r="O114">
        <f t="shared" si="6"/>
        <v>0</v>
      </c>
      <c r="P114">
        <f t="shared" si="7"/>
        <v>0</v>
      </c>
      <c r="Q114">
        <f t="shared" si="8"/>
        <v>0</v>
      </c>
      <c r="R114">
        <f t="shared" si="9"/>
        <v>1</v>
      </c>
      <c r="S114">
        <f t="shared" si="10"/>
        <v>0</v>
      </c>
      <c r="T114">
        <f t="shared" si="11"/>
        <v>0</v>
      </c>
    </row>
    <row r="115" spans="1:20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  <c r="O115">
        <f t="shared" si="6"/>
        <v>0</v>
      </c>
      <c r="P115">
        <f t="shared" si="7"/>
        <v>0</v>
      </c>
      <c r="Q115">
        <f t="shared" si="8"/>
        <v>0</v>
      </c>
      <c r="R115">
        <f t="shared" si="9"/>
        <v>1</v>
      </c>
      <c r="S115">
        <f t="shared" si="10"/>
        <v>0</v>
      </c>
      <c r="T115">
        <f t="shared" si="11"/>
        <v>0</v>
      </c>
    </row>
    <row r="116" spans="1:20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  <c r="O116">
        <f t="shared" si="6"/>
        <v>0</v>
      </c>
      <c r="P116">
        <f t="shared" si="7"/>
        <v>0</v>
      </c>
      <c r="Q116">
        <f t="shared" si="8"/>
        <v>0</v>
      </c>
      <c r="R116">
        <f t="shared" si="9"/>
        <v>1</v>
      </c>
      <c r="S116">
        <f t="shared" si="10"/>
        <v>0</v>
      </c>
      <c r="T116">
        <f t="shared" si="11"/>
        <v>0</v>
      </c>
    </row>
    <row r="117" spans="1:20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  <c r="O117">
        <f t="shared" si="6"/>
        <v>0</v>
      </c>
      <c r="P117">
        <f t="shared" si="7"/>
        <v>0</v>
      </c>
      <c r="Q117">
        <f t="shared" si="8"/>
        <v>0</v>
      </c>
      <c r="R117">
        <f t="shared" si="9"/>
        <v>1</v>
      </c>
      <c r="S117">
        <f t="shared" si="10"/>
        <v>0</v>
      </c>
      <c r="T117">
        <f t="shared" si="11"/>
        <v>0</v>
      </c>
    </row>
    <row r="118" spans="1:20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  <c r="O118">
        <f t="shared" si="6"/>
        <v>0</v>
      </c>
      <c r="P118">
        <f t="shared" si="7"/>
        <v>0</v>
      </c>
      <c r="Q118">
        <f t="shared" si="8"/>
        <v>0</v>
      </c>
      <c r="R118">
        <f t="shared" si="9"/>
        <v>0</v>
      </c>
      <c r="S118">
        <f t="shared" si="10"/>
        <v>0</v>
      </c>
      <c r="T118">
        <f t="shared" si="11"/>
        <v>0</v>
      </c>
    </row>
    <row r="119" spans="1:20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  <c r="O119">
        <f t="shared" si="6"/>
        <v>0</v>
      </c>
      <c r="P119">
        <f t="shared" si="7"/>
        <v>0</v>
      </c>
      <c r="Q119">
        <f t="shared" si="8"/>
        <v>0</v>
      </c>
      <c r="R119">
        <f t="shared" si="9"/>
        <v>0</v>
      </c>
      <c r="S119">
        <f t="shared" si="10"/>
        <v>0</v>
      </c>
      <c r="T119">
        <f t="shared" si="11"/>
        <v>0</v>
      </c>
    </row>
    <row r="120" spans="1:20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  <c r="O120">
        <f t="shared" si="6"/>
        <v>0</v>
      </c>
      <c r="P120">
        <f t="shared" si="7"/>
        <v>0</v>
      </c>
      <c r="Q120">
        <f t="shared" si="8"/>
        <v>0</v>
      </c>
      <c r="R120">
        <f t="shared" si="9"/>
        <v>0</v>
      </c>
      <c r="S120">
        <f t="shared" si="10"/>
        <v>0</v>
      </c>
      <c r="T120">
        <f t="shared" si="11"/>
        <v>0</v>
      </c>
    </row>
    <row r="121" spans="1:20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  <c r="O121">
        <f t="shared" si="6"/>
        <v>0</v>
      </c>
      <c r="P121">
        <f t="shared" si="7"/>
        <v>0</v>
      </c>
      <c r="Q121">
        <f t="shared" si="8"/>
        <v>0</v>
      </c>
      <c r="R121">
        <f t="shared" si="9"/>
        <v>0</v>
      </c>
      <c r="S121">
        <f t="shared" si="10"/>
        <v>0</v>
      </c>
      <c r="T121">
        <f t="shared" si="11"/>
        <v>0</v>
      </c>
    </row>
    <row r="122" spans="1:20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  <c r="O122">
        <f t="shared" si="6"/>
        <v>1</v>
      </c>
      <c r="P122">
        <f t="shared" si="7"/>
        <v>0</v>
      </c>
      <c r="Q122">
        <f t="shared" si="8"/>
        <v>0</v>
      </c>
      <c r="R122">
        <f t="shared" si="9"/>
        <v>0</v>
      </c>
      <c r="S122">
        <f t="shared" si="10"/>
        <v>1</v>
      </c>
      <c r="T122">
        <f t="shared" si="11"/>
        <v>0</v>
      </c>
    </row>
    <row r="123" spans="1:20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  <c r="O123">
        <f t="shared" si="6"/>
        <v>1</v>
      </c>
      <c r="P123">
        <f t="shared" si="7"/>
        <v>0</v>
      </c>
      <c r="Q123">
        <f t="shared" si="8"/>
        <v>0</v>
      </c>
      <c r="R123">
        <f t="shared" si="9"/>
        <v>0</v>
      </c>
      <c r="S123">
        <f t="shared" si="10"/>
        <v>1</v>
      </c>
      <c r="T123">
        <f t="shared" si="11"/>
        <v>0</v>
      </c>
    </row>
    <row r="124" spans="1:20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  <c r="O124">
        <f t="shared" si="6"/>
        <v>1</v>
      </c>
      <c r="P124">
        <f t="shared" si="7"/>
        <v>0</v>
      </c>
      <c r="Q124">
        <f t="shared" si="8"/>
        <v>0</v>
      </c>
      <c r="R124">
        <f t="shared" si="9"/>
        <v>0</v>
      </c>
      <c r="S124">
        <f t="shared" si="10"/>
        <v>1</v>
      </c>
      <c r="T124">
        <f t="shared" si="11"/>
        <v>0</v>
      </c>
    </row>
    <row r="125" spans="1:20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  <c r="O125">
        <f t="shared" si="6"/>
        <v>1</v>
      </c>
      <c r="P125">
        <f t="shared" si="7"/>
        <v>0</v>
      </c>
      <c r="Q125">
        <f t="shared" si="8"/>
        <v>0</v>
      </c>
      <c r="R125">
        <f t="shared" si="9"/>
        <v>0</v>
      </c>
      <c r="S125">
        <f t="shared" si="10"/>
        <v>1</v>
      </c>
      <c r="T125">
        <f t="shared" si="11"/>
        <v>0</v>
      </c>
    </row>
    <row r="126" spans="1:20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  <c r="O126">
        <f t="shared" si="6"/>
        <v>0</v>
      </c>
      <c r="P126">
        <f t="shared" si="7"/>
        <v>1</v>
      </c>
      <c r="Q126">
        <f t="shared" si="8"/>
        <v>0</v>
      </c>
      <c r="R126">
        <f t="shared" si="9"/>
        <v>0</v>
      </c>
      <c r="S126">
        <f t="shared" si="10"/>
        <v>1</v>
      </c>
      <c r="T126">
        <f t="shared" si="11"/>
        <v>0</v>
      </c>
    </row>
    <row r="127" spans="1:20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  <c r="O127">
        <f t="shared" si="6"/>
        <v>0</v>
      </c>
      <c r="P127">
        <f t="shared" si="7"/>
        <v>1</v>
      </c>
      <c r="Q127">
        <f t="shared" si="8"/>
        <v>0</v>
      </c>
      <c r="R127">
        <f t="shared" si="9"/>
        <v>0</v>
      </c>
      <c r="S127">
        <f t="shared" si="10"/>
        <v>1</v>
      </c>
      <c r="T127">
        <f t="shared" si="11"/>
        <v>0</v>
      </c>
    </row>
    <row r="128" spans="1:20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  <c r="O128">
        <f t="shared" si="6"/>
        <v>0</v>
      </c>
      <c r="P128">
        <f t="shared" si="7"/>
        <v>1</v>
      </c>
      <c r="Q128">
        <f t="shared" si="8"/>
        <v>0</v>
      </c>
      <c r="R128">
        <f t="shared" si="9"/>
        <v>0</v>
      </c>
      <c r="S128">
        <f t="shared" si="10"/>
        <v>1</v>
      </c>
      <c r="T128">
        <f t="shared" si="11"/>
        <v>0</v>
      </c>
    </row>
    <row r="129" spans="1:20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  <c r="O129">
        <f t="shared" si="6"/>
        <v>0</v>
      </c>
      <c r="P129">
        <f t="shared" si="7"/>
        <v>1</v>
      </c>
      <c r="Q129">
        <f t="shared" si="8"/>
        <v>0</v>
      </c>
      <c r="R129">
        <f t="shared" si="9"/>
        <v>0</v>
      </c>
      <c r="S129">
        <f t="shared" si="10"/>
        <v>1</v>
      </c>
      <c r="T129">
        <f t="shared" si="11"/>
        <v>0</v>
      </c>
    </row>
    <row r="130" spans="1:20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  <c r="O130">
        <f t="shared" si="6"/>
        <v>0</v>
      </c>
      <c r="P130">
        <f t="shared" si="7"/>
        <v>0</v>
      </c>
      <c r="Q130">
        <f t="shared" si="8"/>
        <v>1</v>
      </c>
      <c r="R130">
        <f t="shared" si="9"/>
        <v>0</v>
      </c>
      <c r="S130">
        <f t="shared" si="10"/>
        <v>1</v>
      </c>
      <c r="T130">
        <f t="shared" si="11"/>
        <v>0</v>
      </c>
    </row>
    <row r="131" spans="1:20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  <c r="O131">
        <f t="shared" ref="O131:O194" si="12">IF(C131="North",1,0)</f>
        <v>0</v>
      </c>
      <c r="P131">
        <f t="shared" ref="P131:P194" si="13">IF(C131="South",1,0)</f>
        <v>0</v>
      </c>
      <c r="Q131">
        <f t="shared" ref="Q131:Q194" si="14">IF(C131="East",1,0)</f>
        <v>1</v>
      </c>
      <c r="R131">
        <f t="shared" ref="R131:R194" si="15">IF(D131="Mall",1,0)</f>
        <v>0</v>
      </c>
      <c r="S131">
        <f t="shared" ref="S131:S194" si="16">IF(D131="High Street",1,0)</f>
        <v>1</v>
      </c>
      <c r="T131">
        <f t="shared" ref="T131:T194" si="17">IF(D131="Airport",1,0)</f>
        <v>0</v>
      </c>
    </row>
    <row r="132" spans="1:20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  <c r="O132">
        <f t="shared" si="12"/>
        <v>0</v>
      </c>
      <c r="P132">
        <f t="shared" si="13"/>
        <v>0</v>
      </c>
      <c r="Q132">
        <f t="shared" si="14"/>
        <v>1</v>
      </c>
      <c r="R132">
        <f t="shared" si="15"/>
        <v>0</v>
      </c>
      <c r="S132">
        <f t="shared" si="16"/>
        <v>1</v>
      </c>
      <c r="T132">
        <f t="shared" si="17"/>
        <v>0</v>
      </c>
    </row>
    <row r="133" spans="1:20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  <c r="O133">
        <f t="shared" si="12"/>
        <v>0</v>
      </c>
      <c r="P133">
        <f t="shared" si="13"/>
        <v>0</v>
      </c>
      <c r="Q133">
        <f t="shared" si="14"/>
        <v>1</v>
      </c>
      <c r="R133">
        <f t="shared" si="15"/>
        <v>0</v>
      </c>
      <c r="S133">
        <f t="shared" si="16"/>
        <v>1</v>
      </c>
      <c r="T133">
        <f t="shared" si="17"/>
        <v>0</v>
      </c>
    </row>
    <row r="134" spans="1:20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  <c r="O134">
        <f t="shared" si="12"/>
        <v>1</v>
      </c>
      <c r="P134">
        <f t="shared" si="13"/>
        <v>0</v>
      </c>
      <c r="Q134">
        <f t="shared" si="14"/>
        <v>0</v>
      </c>
      <c r="R134">
        <f t="shared" si="15"/>
        <v>0</v>
      </c>
      <c r="S134">
        <f t="shared" si="16"/>
        <v>1</v>
      </c>
      <c r="T134">
        <f t="shared" si="17"/>
        <v>0</v>
      </c>
    </row>
    <row r="135" spans="1:20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 s="4">
        <v>3.9246794871794881</v>
      </c>
      <c r="M135">
        <v>400831.65</v>
      </c>
      <c r="N135">
        <v>70979.31</v>
      </c>
      <c r="O135">
        <f t="shared" si="12"/>
        <v>1</v>
      </c>
      <c r="P135">
        <f t="shared" si="13"/>
        <v>0</v>
      </c>
      <c r="Q135">
        <f t="shared" si="14"/>
        <v>0</v>
      </c>
      <c r="R135">
        <f t="shared" si="15"/>
        <v>0</v>
      </c>
      <c r="S135">
        <f t="shared" si="16"/>
        <v>1</v>
      </c>
      <c r="T135">
        <f t="shared" si="17"/>
        <v>0</v>
      </c>
    </row>
    <row r="136" spans="1:20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  <c r="O136">
        <f t="shared" si="12"/>
        <v>1</v>
      </c>
      <c r="P136">
        <f t="shared" si="13"/>
        <v>0</v>
      </c>
      <c r="Q136">
        <f t="shared" si="14"/>
        <v>0</v>
      </c>
      <c r="R136">
        <f t="shared" si="15"/>
        <v>0</v>
      </c>
      <c r="S136">
        <f t="shared" si="16"/>
        <v>1</v>
      </c>
      <c r="T136">
        <f t="shared" si="17"/>
        <v>0</v>
      </c>
    </row>
    <row r="137" spans="1:20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  <c r="O137">
        <f t="shared" si="12"/>
        <v>1</v>
      </c>
      <c r="P137">
        <f t="shared" si="13"/>
        <v>0</v>
      </c>
      <c r="Q137">
        <f t="shared" si="14"/>
        <v>0</v>
      </c>
      <c r="R137">
        <f t="shared" si="15"/>
        <v>0</v>
      </c>
      <c r="S137">
        <f t="shared" si="16"/>
        <v>1</v>
      </c>
      <c r="T137">
        <f t="shared" si="17"/>
        <v>0</v>
      </c>
    </row>
    <row r="138" spans="1:20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 s="4">
        <v>3.9246794871794881</v>
      </c>
      <c r="M138">
        <v>633638.03</v>
      </c>
      <c r="N138">
        <v>99402.01</v>
      </c>
      <c r="O138">
        <f t="shared" si="12"/>
        <v>0</v>
      </c>
      <c r="P138">
        <f t="shared" si="13"/>
        <v>1</v>
      </c>
      <c r="Q138">
        <f t="shared" si="14"/>
        <v>0</v>
      </c>
      <c r="R138">
        <f t="shared" si="15"/>
        <v>0</v>
      </c>
      <c r="S138">
        <f t="shared" si="16"/>
        <v>0</v>
      </c>
      <c r="T138">
        <f t="shared" si="17"/>
        <v>0</v>
      </c>
    </row>
    <row r="139" spans="1:20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  <c r="O139">
        <f t="shared" si="12"/>
        <v>0</v>
      </c>
      <c r="P139">
        <f t="shared" si="13"/>
        <v>1</v>
      </c>
      <c r="Q139">
        <f t="shared" si="14"/>
        <v>0</v>
      </c>
      <c r="R139">
        <f t="shared" si="15"/>
        <v>0</v>
      </c>
      <c r="S139">
        <f t="shared" si="16"/>
        <v>0</v>
      </c>
      <c r="T139">
        <f t="shared" si="17"/>
        <v>0</v>
      </c>
    </row>
    <row r="140" spans="1:20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  <c r="O140">
        <f t="shared" si="12"/>
        <v>0</v>
      </c>
      <c r="P140">
        <f t="shared" si="13"/>
        <v>1</v>
      </c>
      <c r="Q140">
        <f t="shared" si="14"/>
        <v>0</v>
      </c>
      <c r="R140">
        <f t="shared" si="15"/>
        <v>0</v>
      </c>
      <c r="S140">
        <f t="shared" si="16"/>
        <v>0</v>
      </c>
      <c r="T140">
        <f t="shared" si="17"/>
        <v>0</v>
      </c>
    </row>
    <row r="141" spans="1:20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  <c r="O141">
        <f t="shared" si="12"/>
        <v>0</v>
      </c>
      <c r="P141">
        <f t="shared" si="13"/>
        <v>1</v>
      </c>
      <c r="Q141">
        <f t="shared" si="14"/>
        <v>0</v>
      </c>
      <c r="R141">
        <f t="shared" si="15"/>
        <v>0</v>
      </c>
      <c r="S141">
        <f t="shared" si="16"/>
        <v>0</v>
      </c>
      <c r="T141">
        <f t="shared" si="17"/>
        <v>0</v>
      </c>
    </row>
    <row r="142" spans="1:20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  <c r="O142">
        <f t="shared" si="12"/>
        <v>0</v>
      </c>
      <c r="P142">
        <f t="shared" si="13"/>
        <v>0</v>
      </c>
      <c r="Q142">
        <f t="shared" si="14"/>
        <v>0</v>
      </c>
      <c r="R142">
        <f t="shared" si="15"/>
        <v>0</v>
      </c>
      <c r="S142">
        <f t="shared" si="16"/>
        <v>1</v>
      </c>
      <c r="T142">
        <f t="shared" si="17"/>
        <v>0</v>
      </c>
    </row>
    <row r="143" spans="1:20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  <c r="O143">
        <f t="shared" si="12"/>
        <v>0</v>
      </c>
      <c r="P143">
        <f t="shared" si="13"/>
        <v>0</v>
      </c>
      <c r="Q143">
        <f t="shared" si="14"/>
        <v>0</v>
      </c>
      <c r="R143">
        <f t="shared" si="15"/>
        <v>0</v>
      </c>
      <c r="S143">
        <f t="shared" si="16"/>
        <v>1</v>
      </c>
      <c r="T143">
        <f t="shared" si="17"/>
        <v>0</v>
      </c>
    </row>
    <row r="144" spans="1:20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  <c r="O144">
        <f t="shared" si="12"/>
        <v>0</v>
      </c>
      <c r="P144">
        <f t="shared" si="13"/>
        <v>0</v>
      </c>
      <c r="Q144">
        <f t="shared" si="14"/>
        <v>0</v>
      </c>
      <c r="R144">
        <f t="shared" si="15"/>
        <v>0</v>
      </c>
      <c r="S144">
        <f t="shared" si="16"/>
        <v>1</v>
      </c>
      <c r="T144">
        <f t="shared" si="17"/>
        <v>0</v>
      </c>
    </row>
    <row r="145" spans="1:20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  <c r="O145">
        <f t="shared" si="12"/>
        <v>0</v>
      </c>
      <c r="P145">
        <f t="shared" si="13"/>
        <v>0</v>
      </c>
      <c r="Q145">
        <f t="shared" si="14"/>
        <v>0</v>
      </c>
      <c r="R145">
        <f t="shared" si="15"/>
        <v>0</v>
      </c>
      <c r="S145">
        <f t="shared" si="16"/>
        <v>1</v>
      </c>
      <c r="T145">
        <f t="shared" si="17"/>
        <v>0</v>
      </c>
    </row>
    <row r="146" spans="1:20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  <c r="O146">
        <f t="shared" si="12"/>
        <v>1</v>
      </c>
      <c r="P146">
        <f t="shared" si="13"/>
        <v>0</v>
      </c>
      <c r="Q146">
        <f t="shared" si="14"/>
        <v>0</v>
      </c>
      <c r="R146">
        <f t="shared" si="15"/>
        <v>0</v>
      </c>
      <c r="S146">
        <f t="shared" si="16"/>
        <v>0</v>
      </c>
      <c r="T146">
        <f t="shared" si="17"/>
        <v>0</v>
      </c>
    </row>
    <row r="147" spans="1:20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  <c r="O147">
        <f t="shared" si="12"/>
        <v>1</v>
      </c>
      <c r="P147">
        <f t="shared" si="13"/>
        <v>0</v>
      </c>
      <c r="Q147">
        <f t="shared" si="14"/>
        <v>0</v>
      </c>
      <c r="R147">
        <f t="shared" si="15"/>
        <v>0</v>
      </c>
      <c r="S147">
        <f t="shared" si="16"/>
        <v>0</v>
      </c>
      <c r="T147">
        <f t="shared" si="17"/>
        <v>0</v>
      </c>
    </row>
    <row r="148" spans="1:20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  <c r="O148">
        <f t="shared" si="12"/>
        <v>1</v>
      </c>
      <c r="P148">
        <f t="shared" si="13"/>
        <v>0</v>
      </c>
      <c r="Q148">
        <f t="shared" si="14"/>
        <v>0</v>
      </c>
      <c r="R148">
        <f t="shared" si="15"/>
        <v>0</v>
      </c>
      <c r="S148">
        <f t="shared" si="16"/>
        <v>0</v>
      </c>
      <c r="T148">
        <f t="shared" si="17"/>
        <v>0</v>
      </c>
    </row>
    <row r="149" spans="1:20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  <c r="O149">
        <f t="shared" si="12"/>
        <v>1</v>
      </c>
      <c r="P149">
        <f t="shared" si="13"/>
        <v>0</v>
      </c>
      <c r="Q149">
        <f t="shared" si="14"/>
        <v>0</v>
      </c>
      <c r="R149">
        <f t="shared" si="15"/>
        <v>0</v>
      </c>
      <c r="S149">
        <f t="shared" si="16"/>
        <v>0</v>
      </c>
      <c r="T149">
        <f t="shared" si="17"/>
        <v>0</v>
      </c>
    </row>
    <row r="150" spans="1:20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  <c r="O150">
        <f t="shared" si="12"/>
        <v>0</v>
      </c>
      <c r="P150">
        <f t="shared" si="13"/>
        <v>1</v>
      </c>
      <c r="Q150">
        <f t="shared" si="14"/>
        <v>0</v>
      </c>
      <c r="R150">
        <f t="shared" si="15"/>
        <v>1</v>
      </c>
      <c r="S150">
        <f t="shared" si="16"/>
        <v>0</v>
      </c>
      <c r="T150">
        <f t="shared" si="17"/>
        <v>0</v>
      </c>
    </row>
    <row r="151" spans="1:20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  <c r="O151">
        <f t="shared" si="12"/>
        <v>0</v>
      </c>
      <c r="P151">
        <f t="shared" si="13"/>
        <v>1</v>
      </c>
      <c r="Q151">
        <f t="shared" si="14"/>
        <v>0</v>
      </c>
      <c r="R151">
        <f t="shared" si="15"/>
        <v>1</v>
      </c>
      <c r="S151">
        <f t="shared" si="16"/>
        <v>0</v>
      </c>
      <c r="T151">
        <f t="shared" si="17"/>
        <v>0</v>
      </c>
    </row>
    <row r="152" spans="1:20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  <c r="O152">
        <f t="shared" si="12"/>
        <v>0</v>
      </c>
      <c r="P152">
        <f t="shared" si="13"/>
        <v>1</v>
      </c>
      <c r="Q152">
        <f t="shared" si="14"/>
        <v>0</v>
      </c>
      <c r="R152">
        <f t="shared" si="15"/>
        <v>1</v>
      </c>
      <c r="S152">
        <f t="shared" si="16"/>
        <v>0</v>
      </c>
      <c r="T152">
        <f t="shared" si="17"/>
        <v>0</v>
      </c>
    </row>
    <row r="153" spans="1:20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  <c r="O153">
        <f t="shared" si="12"/>
        <v>0</v>
      </c>
      <c r="P153">
        <f t="shared" si="13"/>
        <v>1</v>
      </c>
      <c r="Q153">
        <f t="shared" si="14"/>
        <v>0</v>
      </c>
      <c r="R153">
        <f t="shared" si="15"/>
        <v>1</v>
      </c>
      <c r="S153">
        <f t="shared" si="16"/>
        <v>0</v>
      </c>
      <c r="T153">
        <f t="shared" si="17"/>
        <v>0</v>
      </c>
    </row>
    <row r="154" spans="1:20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  <c r="O154">
        <f t="shared" si="12"/>
        <v>0</v>
      </c>
      <c r="P154">
        <f t="shared" si="13"/>
        <v>0</v>
      </c>
      <c r="Q154">
        <f t="shared" si="14"/>
        <v>1</v>
      </c>
      <c r="R154">
        <f t="shared" si="15"/>
        <v>0</v>
      </c>
      <c r="S154">
        <f t="shared" si="16"/>
        <v>1</v>
      </c>
      <c r="T154">
        <f t="shared" si="17"/>
        <v>0</v>
      </c>
    </row>
    <row r="155" spans="1:20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  <c r="O155">
        <f t="shared" si="12"/>
        <v>0</v>
      </c>
      <c r="P155">
        <f t="shared" si="13"/>
        <v>0</v>
      </c>
      <c r="Q155">
        <f t="shared" si="14"/>
        <v>1</v>
      </c>
      <c r="R155">
        <f t="shared" si="15"/>
        <v>0</v>
      </c>
      <c r="S155">
        <f t="shared" si="16"/>
        <v>1</v>
      </c>
      <c r="T155">
        <f t="shared" si="17"/>
        <v>0</v>
      </c>
    </row>
    <row r="156" spans="1:20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  <c r="O156">
        <f t="shared" si="12"/>
        <v>0</v>
      </c>
      <c r="P156">
        <f t="shared" si="13"/>
        <v>0</v>
      </c>
      <c r="Q156">
        <f t="shared" si="14"/>
        <v>1</v>
      </c>
      <c r="R156">
        <f t="shared" si="15"/>
        <v>0</v>
      </c>
      <c r="S156">
        <f t="shared" si="16"/>
        <v>1</v>
      </c>
      <c r="T156">
        <f t="shared" si="17"/>
        <v>0</v>
      </c>
    </row>
    <row r="157" spans="1:20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  <c r="O157">
        <f t="shared" si="12"/>
        <v>0</v>
      </c>
      <c r="P157">
        <f t="shared" si="13"/>
        <v>0</v>
      </c>
      <c r="Q157">
        <f t="shared" si="14"/>
        <v>1</v>
      </c>
      <c r="R157">
        <f t="shared" si="15"/>
        <v>0</v>
      </c>
      <c r="S157">
        <f t="shared" si="16"/>
        <v>1</v>
      </c>
      <c r="T157">
        <f t="shared" si="17"/>
        <v>0</v>
      </c>
    </row>
    <row r="158" spans="1:20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  <c r="O158">
        <f t="shared" si="12"/>
        <v>1</v>
      </c>
      <c r="P158">
        <f t="shared" si="13"/>
        <v>0</v>
      </c>
      <c r="Q158">
        <f t="shared" si="14"/>
        <v>0</v>
      </c>
      <c r="R158">
        <f t="shared" si="15"/>
        <v>1</v>
      </c>
      <c r="S158">
        <f t="shared" si="16"/>
        <v>0</v>
      </c>
      <c r="T158">
        <f t="shared" si="17"/>
        <v>0</v>
      </c>
    </row>
    <row r="159" spans="1:20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  <c r="O159">
        <f t="shared" si="12"/>
        <v>1</v>
      </c>
      <c r="P159">
        <f t="shared" si="13"/>
        <v>0</v>
      </c>
      <c r="Q159">
        <f t="shared" si="14"/>
        <v>0</v>
      </c>
      <c r="R159">
        <f t="shared" si="15"/>
        <v>1</v>
      </c>
      <c r="S159">
        <f t="shared" si="16"/>
        <v>0</v>
      </c>
      <c r="T159">
        <f t="shared" si="17"/>
        <v>0</v>
      </c>
    </row>
    <row r="160" spans="1:20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  <c r="O160">
        <f t="shared" si="12"/>
        <v>1</v>
      </c>
      <c r="P160">
        <f t="shared" si="13"/>
        <v>0</v>
      </c>
      <c r="Q160">
        <f t="shared" si="14"/>
        <v>0</v>
      </c>
      <c r="R160">
        <f t="shared" si="15"/>
        <v>1</v>
      </c>
      <c r="S160">
        <f t="shared" si="16"/>
        <v>0</v>
      </c>
      <c r="T160">
        <f t="shared" si="17"/>
        <v>0</v>
      </c>
    </row>
    <row r="161" spans="1:20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  <c r="O161">
        <f t="shared" si="12"/>
        <v>1</v>
      </c>
      <c r="P161">
        <f t="shared" si="13"/>
        <v>0</v>
      </c>
      <c r="Q161">
        <f t="shared" si="14"/>
        <v>0</v>
      </c>
      <c r="R161">
        <f t="shared" si="15"/>
        <v>1</v>
      </c>
      <c r="S161">
        <f t="shared" si="16"/>
        <v>0</v>
      </c>
      <c r="T161">
        <f t="shared" si="17"/>
        <v>0</v>
      </c>
    </row>
    <row r="162" spans="1:20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  <c r="O162">
        <f t="shared" si="12"/>
        <v>0</v>
      </c>
      <c r="P162">
        <f t="shared" si="13"/>
        <v>1</v>
      </c>
      <c r="Q162">
        <f t="shared" si="14"/>
        <v>0</v>
      </c>
      <c r="R162">
        <f t="shared" si="15"/>
        <v>0</v>
      </c>
      <c r="S162">
        <f t="shared" si="16"/>
        <v>1</v>
      </c>
      <c r="T162">
        <f t="shared" si="17"/>
        <v>0</v>
      </c>
    </row>
    <row r="163" spans="1:20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  <c r="O163">
        <f t="shared" si="12"/>
        <v>0</v>
      </c>
      <c r="P163">
        <f t="shared" si="13"/>
        <v>1</v>
      </c>
      <c r="Q163">
        <f t="shared" si="14"/>
        <v>0</v>
      </c>
      <c r="R163">
        <f t="shared" si="15"/>
        <v>0</v>
      </c>
      <c r="S163">
        <f t="shared" si="16"/>
        <v>1</v>
      </c>
      <c r="T163">
        <f t="shared" si="17"/>
        <v>0</v>
      </c>
    </row>
    <row r="164" spans="1:20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3.3650000000000002</v>
      </c>
      <c r="K164">
        <v>0</v>
      </c>
      <c r="L164">
        <v>4.2</v>
      </c>
      <c r="M164">
        <v>677096.71</v>
      </c>
      <c r="N164">
        <v>97174.11</v>
      </c>
      <c r="O164">
        <f t="shared" si="12"/>
        <v>0</v>
      </c>
      <c r="P164">
        <f t="shared" si="13"/>
        <v>1</v>
      </c>
      <c r="Q164">
        <f t="shared" si="14"/>
        <v>0</v>
      </c>
      <c r="R164">
        <f t="shared" si="15"/>
        <v>0</v>
      </c>
      <c r="S164">
        <f t="shared" si="16"/>
        <v>1</v>
      </c>
      <c r="T164">
        <f t="shared" si="17"/>
        <v>0</v>
      </c>
    </row>
    <row r="165" spans="1:20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  <c r="O165">
        <f t="shared" si="12"/>
        <v>0</v>
      </c>
      <c r="P165">
        <f t="shared" si="13"/>
        <v>1</v>
      </c>
      <c r="Q165">
        <f t="shared" si="14"/>
        <v>0</v>
      </c>
      <c r="R165">
        <f t="shared" si="15"/>
        <v>0</v>
      </c>
      <c r="S165">
        <f t="shared" si="16"/>
        <v>1</v>
      </c>
      <c r="T165">
        <f t="shared" si="17"/>
        <v>0</v>
      </c>
    </row>
    <row r="166" spans="1:20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  <c r="O166">
        <f t="shared" si="12"/>
        <v>1</v>
      </c>
      <c r="P166">
        <f t="shared" si="13"/>
        <v>0</v>
      </c>
      <c r="Q166">
        <f t="shared" si="14"/>
        <v>0</v>
      </c>
      <c r="R166">
        <f t="shared" si="15"/>
        <v>1</v>
      </c>
      <c r="S166">
        <f t="shared" si="16"/>
        <v>0</v>
      </c>
      <c r="T166">
        <f t="shared" si="17"/>
        <v>0</v>
      </c>
    </row>
    <row r="167" spans="1:20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  <c r="O167">
        <f t="shared" si="12"/>
        <v>1</v>
      </c>
      <c r="P167">
        <f t="shared" si="13"/>
        <v>0</v>
      </c>
      <c r="Q167">
        <f t="shared" si="14"/>
        <v>0</v>
      </c>
      <c r="R167">
        <f t="shared" si="15"/>
        <v>1</v>
      </c>
      <c r="S167">
        <f t="shared" si="16"/>
        <v>0</v>
      </c>
      <c r="T167">
        <f t="shared" si="17"/>
        <v>0</v>
      </c>
    </row>
    <row r="168" spans="1:20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  <c r="O168">
        <f t="shared" si="12"/>
        <v>1</v>
      </c>
      <c r="P168">
        <f t="shared" si="13"/>
        <v>0</v>
      </c>
      <c r="Q168">
        <f t="shared" si="14"/>
        <v>0</v>
      </c>
      <c r="R168">
        <f t="shared" si="15"/>
        <v>1</v>
      </c>
      <c r="S168">
        <f t="shared" si="16"/>
        <v>0</v>
      </c>
      <c r="T168">
        <f t="shared" si="17"/>
        <v>0</v>
      </c>
    </row>
    <row r="169" spans="1:20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  <c r="O169">
        <f t="shared" si="12"/>
        <v>1</v>
      </c>
      <c r="P169">
        <f t="shared" si="13"/>
        <v>0</v>
      </c>
      <c r="Q169">
        <f t="shared" si="14"/>
        <v>0</v>
      </c>
      <c r="R169">
        <f t="shared" si="15"/>
        <v>1</v>
      </c>
      <c r="S169">
        <f t="shared" si="16"/>
        <v>0</v>
      </c>
      <c r="T169">
        <f t="shared" si="17"/>
        <v>0</v>
      </c>
    </row>
    <row r="170" spans="1:20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  <c r="O170">
        <f t="shared" si="12"/>
        <v>0</v>
      </c>
      <c r="P170">
        <f t="shared" si="13"/>
        <v>0</v>
      </c>
      <c r="Q170">
        <f t="shared" si="14"/>
        <v>1</v>
      </c>
      <c r="R170">
        <f t="shared" si="15"/>
        <v>0</v>
      </c>
      <c r="S170">
        <f t="shared" si="16"/>
        <v>0</v>
      </c>
      <c r="T170">
        <f t="shared" si="17"/>
        <v>0</v>
      </c>
    </row>
    <row r="171" spans="1:20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  <c r="O171">
        <f t="shared" si="12"/>
        <v>0</v>
      </c>
      <c r="P171">
        <f t="shared" si="13"/>
        <v>0</v>
      </c>
      <c r="Q171">
        <f t="shared" si="14"/>
        <v>1</v>
      </c>
      <c r="R171">
        <f t="shared" si="15"/>
        <v>0</v>
      </c>
      <c r="S171">
        <f t="shared" si="16"/>
        <v>0</v>
      </c>
      <c r="T171">
        <f t="shared" si="17"/>
        <v>0</v>
      </c>
    </row>
    <row r="172" spans="1:20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  <c r="O172">
        <f t="shared" si="12"/>
        <v>0</v>
      </c>
      <c r="P172">
        <f t="shared" si="13"/>
        <v>0</v>
      </c>
      <c r="Q172">
        <f t="shared" si="14"/>
        <v>1</v>
      </c>
      <c r="R172">
        <f t="shared" si="15"/>
        <v>0</v>
      </c>
      <c r="S172">
        <f t="shared" si="16"/>
        <v>0</v>
      </c>
      <c r="T172">
        <f t="shared" si="17"/>
        <v>0</v>
      </c>
    </row>
    <row r="173" spans="1:20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  <c r="O173">
        <f t="shared" si="12"/>
        <v>0</v>
      </c>
      <c r="P173">
        <f t="shared" si="13"/>
        <v>0</v>
      </c>
      <c r="Q173">
        <f t="shared" si="14"/>
        <v>1</v>
      </c>
      <c r="R173">
        <f t="shared" si="15"/>
        <v>0</v>
      </c>
      <c r="S173">
        <f t="shared" si="16"/>
        <v>0</v>
      </c>
      <c r="T173">
        <f t="shared" si="17"/>
        <v>0</v>
      </c>
    </row>
    <row r="174" spans="1:20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  <c r="O174">
        <f t="shared" si="12"/>
        <v>0</v>
      </c>
      <c r="P174">
        <f t="shared" si="13"/>
        <v>0</v>
      </c>
      <c r="Q174">
        <f t="shared" si="14"/>
        <v>1</v>
      </c>
      <c r="R174">
        <f t="shared" si="15"/>
        <v>0</v>
      </c>
      <c r="S174">
        <f t="shared" si="16"/>
        <v>0</v>
      </c>
      <c r="T174">
        <f t="shared" si="17"/>
        <v>0</v>
      </c>
    </row>
    <row r="175" spans="1:20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  <c r="O175">
        <f t="shared" si="12"/>
        <v>0</v>
      </c>
      <c r="P175">
        <f t="shared" si="13"/>
        <v>0</v>
      </c>
      <c r="Q175">
        <f t="shared" si="14"/>
        <v>1</v>
      </c>
      <c r="R175">
        <f t="shared" si="15"/>
        <v>0</v>
      </c>
      <c r="S175">
        <f t="shared" si="16"/>
        <v>0</v>
      </c>
      <c r="T175">
        <f t="shared" si="17"/>
        <v>0</v>
      </c>
    </row>
    <row r="176" spans="1:20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  <c r="O176">
        <f t="shared" si="12"/>
        <v>0</v>
      </c>
      <c r="P176">
        <f t="shared" si="13"/>
        <v>0</v>
      </c>
      <c r="Q176">
        <f t="shared" si="14"/>
        <v>1</v>
      </c>
      <c r="R176">
        <f t="shared" si="15"/>
        <v>0</v>
      </c>
      <c r="S176">
        <f t="shared" si="16"/>
        <v>0</v>
      </c>
      <c r="T176">
        <f t="shared" si="17"/>
        <v>0</v>
      </c>
    </row>
    <row r="177" spans="1:20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  <c r="O177">
        <f t="shared" si="12"/>
        <v>0</v>
      </c>
      <c r="P177">
        <f t="shared" si="13"/>
        <v>0</v>
      </c>
      <c r="Q177">
        <f t="shared" si="14"/>
        <v>1</v>
      </c>
      <c r="R177">
        <f t="shared" si="15"/>
        <v>0</v>
      </c>
      <c r="S177">
        <f t="shared" si="16"/>
        <v>0</v>
      </c>
      <c r="T177">
        <f t="shared" si="17"/>
        <v>0</v>
      </c>
    </row>
    <row r="178" spans="1:20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  <c r="O178">
        <f t="shared" si="12"/>
        <v>0</v>
      </c>
      <c r="P178">
        <f t="shared" si="13"/>
        <v>0</v>
      </c>
      <c r="Q178">
        <f t="shared" si="14"/>
        <v>0</v>
      </c>
      <c r="R178">
        <f t="shared" si="15"/>
        <v>0</v>
      </c>
      <c r="S178">
        <f t="shared" si="16"/>
        <v>0</v>
      </c>
      <c r="T178">
        <f t="shared" si="17"/>
        <v>1</v>
      </c>
    </row>
    <row r="179" spans="1:20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  <c r="O179">
        <f t="shared" si="12"/>
        <v>0</v>
      </c>
      <c r="P179">
        <f t="shared" si="13"/>
        <v>0</v>
      </c>
      <c r="Q179">
        <f t="shared" si="14"/>
        <v>0</v>
      </c>
      <c r="R179">
        <f t="shared" si="15"/>
        <v>0</v>
      </c>
      <c r="S179">
        <f t="shared" si="16"/>
        <v>0</v>
      </c>
      <c r="T179">
        <f t="shared" si="17"/>
        <v>1</v>
      </c>
    </row>
    <row r="180" spans="1:20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  <c r="O180">
        <f t="shared" si="12"/>
        <v>0</v>
      </c>
      <c r="P180">
        <f t="shared" si="13"/>
        <v>0</v>
      </c>
      <c r="Q180">
        <f t="shared" si="14"/>
        <v>0</v>
      </c>
      <c r="R180">
        <f t="shared" si="15"/>
        <v>0</v>
      </c>
      <c r="S180">
        <f t="shared" si="16"/>
        <v>0</v>
      </c>
      <c r="T180">
        <f t="shared" si="17"/>
        <v>1</v>
      </c>
    </row>
    <row r="181" spans="1:20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  <c r="O181">
        <f t="shared" si="12"/>
        <v>0</v>
      </c>
      <c r="P181">
        <f t="shared" si="13"/>
        <v>0</v>
      </c>
      <c r="Q181">
        <f t="shared" si="14"/>
        <v>0</v>
      </c>
      <c r="R181">
        <f t="shared" si="15"/>
        <v>0</v>
      </c>
      <c r="S181">
        <f t="shared" si="16"/>
        <v>0</v>
      </c>
      <c r="T181">
        <f t="shared" si="17"/>
        <v>1</v>
      </c>
    </row>
    <row r="182" spans="1:20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  <c r="O182">
        <f t="shared" si="12"/>
        <v>0</v>
      </c>
      <c r="P182">
        <f t="shared" si="13"/>
        <v>0</v>
      </c>
      <c r="Q182">
        <f t="shared" si="14"/>
        <v>0</v>
      </c>
      <c r="R182">
        <f t="shared" si="15"/>
        <v>0</v>
      </c>
      <c r="S182">
        <f t="shared" si="16"/>
        <v>0</v>
      </c>
      <c r="T182">
        <f t="shared" si="17"/>
        <v>0</v>
      </c>
    </row>
    <row r="183" spans="1:20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  <c r="O183">
        <f t="shared" si="12"/>
        <v>0</v>
      </c>
      <c r="P183">
        <f t="shared" si="13"/>
        <v>0</v>
      </c>
      <c r="Q183">
        <f t="shared" si="14"/>
        <v>0</v>
      </c>
      <c r="R183">
        <f t="shared" si="15"/>
        <v>0</v>
      </c>
      <c r="S183">
        <f t="shared" si="16"/>
        <v>0</v>
      </c>
      <c r="T183">
        <f t="shared" si="17"/>
        <v>0</v>
      </c>
    </row>
    <row r="184" spans="1:20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  <c r="O184">
        <f t="shared" si="12"/>
        <v>0</v>
      </c>
      <c r="P184">
        <f t="shared" si="13"/>
        <v>0</v>
      </c>
      <c r="Q184">
        <f t="shared" si="14"/>
        <v>0</v>
      </c>
      <c r="R184">
        <f t="shared" si="15"/>
        <v>0</v>
      </c>
      <c r="S184">
        <f t="shared" si="16"/>
        <v>0</v>
      </c>
      <c r="T184">
        <f t="shared" si="17"/>
        <v>0</v>
      </c>
    </row>
    <row r="185" spans="1:20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  <c r="O185">
        <f t="shared" si="12"/>
        <v>0</v>
      </c>
      <c r="P185">
        <f t="shared" si="13"/>
        <v>0</v>
      </c>
      <c r="Q185">
        <f t="shared" si="14"/>
        <v>0</v>
      </c>
      <c r="R185">
        <f t="shared" si="15"/>
        <v>0</v>
      </c>
      <c r="S185">
        <f t="shared" si="16"/>
        <v>0</v>
      </c>
      <c r="T185">
        <f t="shared" si="17"/>
        <v>0</v>
      </c>
    </row>
    <row r="186" spans="1:20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  <c r="O186">
        <f t="shared" si="12"/>
        <v>1</v>
      </c>
      <c r="P186">
        <f t="shared" si="13"/>
        <v>0</v>
      </c>
      <c r="Q186">
        <f t="shared" si="14"/>
        <v>0</v>
      </c>
      <c r="R186">
        <f t="shared" si="15"/>
        <v>0</v>
      </c>
      <c r="S186">
        <f t="shared" si="16"/>
        <v>1</v>
      </c>
      <c r="T186">
        <f t="shared" si="17"/>
        <v>0</v>
      </c>
    </row>
    <row r="187" spans="1:20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  <c r="O187">
        <f t="shared" si="12"/>
        <v>1</v>
      </c>
      <c r="P187">
        <f t="shared" si="13"/>
        <v>0</v>
      </c>
      <c r="Q187">
        <f t="shared" si="14"/>
        <v>0</v>
      </c>
      <c r="R187">
        <f t="shared" si="15"/>
        <v>0</v>
      </c>
      <c r="S187">
        <f t="shared" si="16"/>
        <v>1</v>
      </c>
      <c r="T187">
        <f t="shared" si="17"/>
        <v>0</v>
      </c>
    </row>
    <row r="188" spans="1:20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  <c r="O188">
        <f t="shared" si="12"/>
        <v>1</v>
      </c>
      <c r="P188">
        <f t="shared" si="13"/>
        <v>0</v>
      </c>
      <c r="Q188">
        <f t="shared" si="14"/>
        <v>0</v>
      </c>
      <c r="R188">
        <f t="shared" si="15"/>
        <v>0</v>
      </c>
      <c r="S188">
        <f t="shared" si="16"/>
        <v>1</v>
      </c>
      <c r="T188">
        <f t="shared" si="17"/>
        <v>0</v>
      </c>
    </row>
    <row r="189" spans="1:20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  <c r="O189">
        <f t="shared" si="12"/>
        <v>1</v>
      </c>
      <c r="P189">
        <f t="shared" si="13"/>
        <v>0</v>
      </c>
      <c r="Q189">
        <f t="shared" si="14"/>
        <v>0</v>
      </c>
      <c r="R189">
        <f t="shared" si="15"/>
        <v>0</v>
      </c>
      <c r="S189">
        <f t="shared" si="16"/>
        <v>1</v>
      </c>
      <c r="T189">
        <f t="shared" si="17"/>
        <v>0</v>
      </c>
    </row>
    <row r="190" spans="1:20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  <c r="O190">
        <f t="shared" si="12"/>
        <v>0</v>
      </c>
      <c r="P190">
        <f t="shared" si="13"/>
        <v>0</v>
      </c>
      <c r="Q190">
        <f t="shared" si="14"/>
        <v>1</v>
      </c>
      <c r="R190">
        <f t="shared" si="15"/>
        <v>0</v>
      </c>
      <c r="S190">
        <f t="shared" si="16"/>
        <v>1</v>
      </c>
      <c r="T190">
        <f t="shared" si="17"/>
        <v>0</v>
      </c>
    </row>
    <row r="191" spans="1:20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  <c r="O191">
        <f t="shared" si="12"/>
        <v>0</v>
      </c>
      <c r="P191">
        <f t="shared" si="13"/>
        <v>0</v>
      </c>
      <c r="Q191">
        <f t="shared" si="14"/>
        <v>1</v>
      </c>
      <c r="R191">
        <f t="shared" si="15"/>
        <v>0</v>
      </c>
      <c r="S191">
        <f t="shared" si="16"/>
        <v>1</v>
      </c>
      <c r="T191">
        <f t="shared" si="17"/>
        <v>0</v>
      </c>
    </row>
    <row r="192" spans="1:20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  <c r="O192">
        <f t="shared" si="12"/>
        <v>0</v>
      </c>
      <c r="P192">
        <f t="shared" si="13"/>
        <v>0</v>
      </c>
      <c r="Q192">
        <f t="shared" si="14"/>
        <v>1</v>
      </c>
      <c r="R192">
        <f t="shared" si="15"/>
        <v>0</v>
      </c>
      <c r="S192">
        <f t="shared" si="16"/>
        <v>1</v>
      </c>
      <c r="T192">
        <f t="shared" si="17"/>
        <v>0</v>
      </c>
    </row>
    <row r="193" spans="1:20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  <c r="O193">
        <f t="shared" si="12"/>
        <v>0</v>
      </c>
      <c r="P193">
        <f t="shared" si="13"/>
        <v>0</v>
      </c>
      <c r="Q193">
        <f t="shared" si="14"/>
        <v>1</v>
      </c>
      <c r="R193">
        <f t="shared" si="15"/>
        <v>0</v>
      </c>
      <c r="S193">
        <f t="shared" si="16"/>
        <v>1</v>
      </c>
      <c r="T193">
        <f t="shared" si="17"/>
        <v>0</v>
      </c>
    </row>
    <row r="194" spans="1:20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  <c r="O194">
        <f t="shared" si="12"/>
        <v>0</v>
      </c>
      <c r="P194">
        <f t="shared" si="13"/>
        <v>0</v>
      </c>
      <c r="Q194">
        <f t="shared" si="14"/>
        <v>0</v>
      </c>
      <c r="R194">
        <f t="shared" si="15"/>
        <v>0</v>
      </c>
      <c r="S194">
        <f t="shared" si="16"/>
        <v>0</v>
      </c>
      <c r="T194">
        <f t="shared" si="17"/>
        <v>0</v>
      </c>
    </row>
    <row r="195" spans="1:20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  <c r="O195">
        <f t="shared" ref="O195:O258" si="18">IF(C195="North",1,0)</f>
        <v>0</v>
      </c>
      <c r="P195">
        <f t="shared" ref="P195:P258" si="19">IF(C195="South",1,0)</f>
        <v>0</v>
      </c>
      <c r="Q195">
        <f t="shared" ref="Q195:Q258" si="20">IF(C195="East",1,0)</f>
        <v>0</v>
      </c>
      <c r="R195">
        <f t="shared" ref="R195:R258" si="21">IF(D195="Mall",1,0)</f>
        <v>0</v>
      </c>
      <c r="S195">
        <f t="shared" ref="S195:S258" si="22">IF(D195="High Street",1,0)</f>
        <v>0</v>
      </c>
      <c r="T195">
        <f t="shared" ref="T195:T258" si="23">IF(D195="Airport",1,0)</f>
        <v>0</v>
      </c>
    </row>
    <row r="196" spans="1:20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  <c r="O196">
        <f t="shared" si="18"/>
        <v>0</v>
      </c>
      <c r="P196">
        <f t="shared" si="19"/>
        <v>0</v>
      </c>
      <c r="Q196">
        <f t="shared" si="20"/>
        <v>0</v>
      </c>
      <c r="R196">
        <f t="shared" si="21"/>
        <v>0</v>
      </c>
      <c r="S196">
        <f t="shared" si="22"/>
        <v>0</v>
      </c>
      <c r="T196">
        <f t="shared" si="23"/>
        <v>0</v>
      </c>
    </row>
    <row r="197" spans="1:20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 s="4">
        <v>3.9246794871794881</v>
      </c>
      <c r="M197">
        <v>449465.06</v>
      </c>
      <c r="N197">
        <v>65694.78</v>
      </c>
      <c r="O197">
        <f t="shared" si="18"/>
        <v>0</v>
      </c>
      <c r="P197">
        <f t="shared" si="19"/>
        <v>0</v>
      </c>
      <c r="Q197">
        <f t="shared" si="20"/>
        <v>0</v>
      </c>
      <c r="R197">
        <f t="shared" si="21"/>
        <v>0</v>
      </c>
      <c r="S197">
        <f t="shared" si="22"/>
        <v>0</v>
      </c>
      <c r="T197">
        <f t="shared" si="23"/>
        <v>0</v>
      </c>
    </row>
    <row r="198" spans="1:20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  <c r="O198">
        <f t="shared" si="18"/>
        <v>1</v>
      </c>
      <c r="P198">
        <f t="shared" si="19"/>
        <v>0</v>
      </c>
      <c r="Q198">
        <f t="shared" si="20"/>
        <v>0</v>
      </c>
      <c r="R198">
        <f t="shared" si="21"/>
        <v>0</v>
      </c>
      <c r="S198">
        <f t="shared" si="22"/>
        <v>0</v>
      </c>
      <c r="T198">
        <f t="shared" si="23"/>
        <v>0</v>
      </c>
    </row>
    <row r="199" spans="1:20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  <c r="O199">
        <f t="shared" si="18"/>
        <v>1</v>
      </c>
      <c r="P199">
        <f t="shared" si="19"/>
        <v>0</v>
      </c>
      <c r="Q199">
        <f t="shared" si="20"/>
        <v>0</v>
      </c>
      <c r="R199">
        <f t="shared" si="21"/>
        <v>0</v>
      </c>
      <c r="S199">
        <f t="shared" si="22"/>
        <v>0</v>
      </c>
      <c r="T199">
        <f t="shared" si="23"/>
        <v>0</v>
      </c>
    </row>
    <row r="200" spans="1:20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  <c r="O200">
        <f t="shared" si="18"/>
        <v>1</v>
      </c>
      <c r="P200">
        <f t="shared" si="19"/>
        <v>0</v>
      </c>
      <c r="Q200">
        <f t="shared" si="20"/>
        <v>0</v>
      </c>
      <c r="R200">
        <f t="shared" si="21"/>
        <v>0</v>
      </c>
      <c r="S200">
        <f t="shared" si="22"/>
        <v>0</v>
      </c>
      <c r="T200">
        <f t="shared" si="23"/>
        <v>0</v>
      </c>
    </row>
    <row r="201" spans="1:20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  <c r="O201">
        <f t="shared" si="18"/>
        <v>1</v>
      </c>
      <c r="P201">
        <f t="shared" si="19"/>
        <v>0</v>
      </c>
      <c r="Q201">
        <f t="shared" si="20"/>
        <v>0</v>
      </c>
      <c r="R201">
        <f t="shared" si="21"/>
        <v>0</v>
      </c>
      <c r="S201">
        <f t="shared" si="22"/>
        <v>0</v>
      </c>
      <c r="T201">
        <f t="shared" si="23"/>
        <v>0</v>
      </c>
    </row>
    <row r="202" spans="1:20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  <c r="O202">
        <f t="shared" si="18"/>
        <v>0</v>
      </c>
      <c r="P202">
        <f t="shared" si="19"/>
        <v>0</v>
      </c>
      <c r="Q202">
        <f t="shared" si="20"/>
        <v>1</v>
      </c>
      <c r="R202">
        <f t="shared" si="21"/>
        <v>0</v>
      </c>
      <c r="S202">
        <f t="shared" si="22"/>
        <v>0</v>
      </c>
      <c r="T202">
        <f t="shared" si="23"/>
        <v>1</v>
      </c>
    </row>
    <row r="203" spans="1:20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  <c r="O203">
        <f t="shared" si="18"/>
        <v>0</v>
      </c>
      <c r="P203">
        <f t="shared" si="19"/>
        <v>0</v>
      </c>
      <c r="Q203">
        <f t="shared" si="20"/>
        <v>1</v>
      </c>
      <c r="R203">
        <f t="shared" si="21"/>
        <v>0</v>
      </c>
      <c r="S203">
        <f t="shared" si="22"/>
        <v>0</v>
      </c>
      <c r="T203">
        <f t="shared" si="23"/>
        <v>1</v>
      </c>
    </row>
    <row r="204" spans="1:20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  <c r="O204">
        <f t="shared" si="18"/>
        <v>0</v>
      </c>
      <c r="P204">
        <f t="shared" si="19"/>
        <v>0</v>
      </c>
      <c r="Q204">
        <f t="shared" si="20"/>
        <v>1</v>
      </c>
      <c r="R204">
        <f t="shared" si="21"/>
        <v>0</v>
      </c>
      <c r="S204">
        <f t="shared" si="22"/>
        <v>0</v>
      </c>
      <c r="T204">
        <f t="shared" si="23"/>
        <v>1</v>
      </c>
    </row>
    <row r="205" spans="1:20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  <c r="O205">
        <f t="shared" si="18"/>
        <v>0</v>
      </c>
      <c r="P205">
        <f t="shared" si="19"/>
        <v>0</v>
      </c>
      <c r="Q205">
        <f t="shared" si="20"/>
        <v>1</v>
      </c>
      <c r="R205">
        <f t="shared" si="21"/>
        <v>0</v>
      </c>
      <c r="S205">
        <f t="shared" si="22"/>
        <v>0</v>
      </c>
      <c r="T205">
        <f t="shared" si="23"/>
        <v>1</v>
      </c>
    </row>
    <row r="206" spans="1:20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  <c r="O206">
        <f t="shared" si="18"/>
        <v>0</v>
      </c>
      <c r="P206">
        <f t="shared" si="19"/>
        <v>0</v>
      </c>
      <c r="Q206">
        <f t="shared" si="20"/>
        <v>1</v>
      </c>
      <c r="R206">
        <f t="shared" si="21"/>
        <v>1</v>
      </c>
      <c r="S206">
        <f t="shared" si="22"/>
        <v>0</v>
      </c>
      <c r="T206">
        <f t="shared" si="23"/>
        <v>0</v>
      </c>
    </row>
    <row r="207" spans="1:20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  <c r="O207">
        <f t="shared" si="18"/>
        <v>0</v>
      </c>
      <c r="P207">
        <f t="shared" si="19"/>
        <v>0</v>
      </c>
      <c r="Q207">
        <f t="shared" si="20"/>
        <v>1</v>
      </c>
      <c r="R207">
        <f t="shared" si="21"/>
        <v>1</v>
      </c>
      <c r="S207">
        <f t="shared" si="22"/>
        <v>0</v>
      </c>
      <c r="T207">
        <f t="shared" si="23"/>
        <v>0</v>
      </c>
    </row>
    <row r="208" spans="1:20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  <c r="O208">
        <f t="shared" si="18"/>
        <v>0</v>
      </c>
      <c r="P208">
        <f t="shared" si="19"/>
        <v>0</v>
      </c>
      <c r="Q208">
        <f t="shared" si="20"/>
        <v>1</v>
      </c>
      <c r="R208">
        <f t="shared" si="21"/>
        <v>1</v>
      </c>
      <c r="S208">
        <f t="shared" si="22"/>
        <v>0</v>
      </c>
      <c r="T208">
        <f t="shared" si="23"/>
        <v>0</v>
      </c>
    </row>
    <row r="209" spans="1:20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  <c r="O209">
        <f t="shared" si="18"/>
        <v>0</v>
      </c>
      <c r="P209">
        <f t="shared" si="19"/>
        <v>0</v>
      </c>
      <c r="Q209">
        <f t="shared" si="20"/>
        <v>1</v>
      </c>
      <c r="R209">
        <f t="shared" si="21"/>
        <v>1</v>
      </c>
      <c r="S209">
        <f t="shared" si="22"/>
        <v>0</v>
      </c>
      <c r="T209">
        <f t="shared" si="23"/>
        <v>0</v>
      </c>
    </row>
    <row r="210" spans="1:20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  <c r="O210">
        <f t="shared" si="18"/>
        <v>0</v>
      </c>
      <c r="P210">
        <f t="shared" si="19"/>
        <v>0</v>
      </c>
      <c r="Q210">
        <f t="shared" si="20"/>
        <v>1</v>
      </c>
      <c r="R210">
        <f t="shared" si="21"/>
        <v>0</v>
      </c>
      <c r="S210">
        <f t="shared" si="22"/>
        <v>1</v>
      </c>
      <c r="T210">
        <f t="shared" si="23"/>
        <v>0</v>
      </c>
    </row>
    <row r="211" spans="1:20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  <c r="O211">
        <f t="shared" si="18"/>
        <v>0</v>
      </c>
      <c r="P211">
        <f t="shared" si="19"/>
        <v>0</v>
      </c>
      <c r="Q211">
        <f t="shared" si="20"/>
        <v>1</v>
      </c>
      <c r="R211">
        <f t="shared" si="21"/>
        <v>0</v>
      </c>
      <c r="S211">
        <f t="shared" si="22"/>
        <v>1</v>
      </c>
      <c r="T211">
        <f t="shared" si="23"/>
        <v>0</v>
      </c>
    </row>
    <row r="212" spans="1:20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  <c r="O212">
        <f t="shared" si="18"/>
        <v>0</v>
      </c>
      <c r="P212">
        <f t="shared" si="19"/>
        <v>0</v>
      </c>
      <c r="Q212">
        <f t="shared" si="20"/>
        <v>1</v>
      </c>
      <c r="R212">
        <f t="shared" si="21"/>
        <v>0</v>
      </c>
      <c r="S212">
        <f t="shared" si="22"/>
        <v>1</v>
      </c>
      <c r="T212">
        <f t="shared" si="23"/>
        <v>0</v>
      </c>
    </row>
    <row r="213" spans="1:20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  <c r="O213">
        <f t="shared" si="18"/>
        <v>0</v>
      </c>
      <c r="P213">
        <f t="shared" si="19"/>
        <v>0</v>
      </c>
      <c r="Q213">
        <f t="shared" si="20"/>
        <v>1</v>
      </c>
      <c r="R213">
        <f t="shared" si="21"/>
        <v>0</v>
      </c>
      <c r="S213">
        <f t="shared" si="22"/>
        <v>1</v>
      </c>
      <c r="T213">
        <f t="shared" si="23"/>
        <v>0</v>
      </c>
    </row>
    <row r="214" spans="1:20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  <c r="O214">
        <f t="shared" si="18"/>
        <v>0</v>
      </c>
      <c r="P214">
        <f t="shared" si="19"/>
        <v>0</v>
      </c>
      <c r="Q214">
        <f t="shared" si="20"/>
        <v>0</v>
      </c>
      <c r="R214">
        <f t="shared" si="21"/>
        <v>0</v>
      </c>
      <c r="S214">
        <f t="shared" si="22"/>
        <v>0</v>
      </c>
      <c r="T214">
        <f t="shared" si="23"/>
        <v>0</v>
      </c>
    </row>
    <row r="215" spans="1:20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  <c r="O215">
        <f t="shared" si="18"/>
        <v>0</v>
      </c>
      <c r="P215">
        <f t="shared" si="19"/>
        <v>0</v>
      </c>
      <c r="Q215">
        <f t="shared" si="20"/>
        <v>0</v>
      </c>
      <c r="R215">
        <f t="shared" si="21"/>
        <v>0</v>
      </c>
      <c r="S215">
        <f t="shared" si="22"/>
        <v>0</v>
      </c>
      <c r="T215">
        <f t="shared" si="23"/>
        <v>0</v>
      </c>
    </row>
    <row r="216" spans="1:20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  <c r="O216">
        <f t="shared" si="18"/>
        <v>0</v>
      </c>
      <c r="P216">
        <f t="shared" si="19"/>
        <v>0</v>
      </c>
      <c r="Q216">
        <f t="shared" si="20"/>
        <v>0</v>
      </c>
      <c r="R216">
        <f t="shared" si="21"/>
        <v>0</v>
      </c>
      <c r="S216">
        <f t="shared" si="22"/>
        <v>0</v>
      </c>
      <c r="T216">
        <f t="shared" si="23"/>
        <v>0</v>
      </c>
    </row>
    <row r="217" spans="1:20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  <c r="O217">
        <f t="shared" si="18"/>
        <v>0</v>
      </c>
      <c r="P217">
        <f t="shared" si="19"/>
        <v>0</v>
      </c>
      <c r="Q217">
        <f t="shared" si="20"/>
        <v>0</v>
      </c>
      <c r="R217">
        <f t="shared" si="21"/>
        <v>0</v>
      </c>
      <c r="S217">
        <f t="shared" si="22"/>
        <v>0</v>
      </c>
      <c r="T217">
        <f t="shared" si="23"/>
        <v>0</v>
      </c>
    </row>
    <row r="218" spans="1:20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  <c r="O218">
        <f t="shared" si="18"/>
        <v>1</v>
      </c>
      <c r="P218">
        <f t="shared" si="19"/>
        <v>0</v>
      </c>
      <c r="Q218">
        <f t="shared" si="20"/>
        <v>0</v>
      </c>
      <c r="R218">
        <f t="shared" si="21"/>
        <v>0</v>
      </c>
      <c r="S218">
        <f t="shared" si="22"/>
        <v>0</v>
      </c>
      <c r="T218">
        <f t="shared" si="23"/>
        <v>1</v>
      </c>
    </row>
    <row r="219" spans="1:20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  <c r="O219">
        <f t="shared" si="18"/>
        <v>1</v>
      </c>
      <c r="P219">
        <f t="shared" si="19"/>
        <v>0</v>
      </c>
      <c r="Q219">
        <f t="shared" si="20"/>
        <v>0</v>
      </c>
      <c r="R219">
        <f t="shared" si="21"/>
        <v>0</v>
      </c>
      <c r="S219">
        <f t="shared" si="22"/>
        <v>0</v>
      </c>
      <c r="T219">
        <f t="shared" si="23"/>
        <v>1</v>
      </c>
    </row>
    <row r="220" spans="1:20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  <c r="O220">
        <f t="shared" si="18"/>
        <v>1</v>
      </c>
      <c r="P220">
        <f t="shared" si="19"/>
        <v>0</v>
      </c>
      <c r="Q220">
        <f t="shared" si="20"/>
        <v>0</v>
      </c>
      <c r="R220">
        <f t="shared" si="21"/>
        <v>0</v>
      </c>
      <c r="S220">
        <f t="shared" si="22"/>
        <v>0</v>
      </c>
      <c r="T220">
        <f t="shared" si="23"/>
        <v>1</v>
      </c>
    </row>
    <row r="221" spans="1:20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  <c r="O221">
        <f t="shared" si="18"/>
        <v>1</v>
      </c>
      <c r="P221">
        <f t="shared" si="19"/>
        <v>0</v>
      </c>
      <c r="Q221">
        <f t="shared" si="20"/>
        <v>0</v>
      </c>
      <c r="R221">
        <f t="shared" si="21"/>
        <v>0</v>
      </c>
      <c r="S221">
        <f t="shared" si="22"/>
        <v>0</v>
      </c>
      <c r="T221">
        <f t="shared" si="23"/>
        <v>1</v>
      </c>
    </row>
    <row r="222" spans="1:20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  <c r="O222">
        <f t="shared" si="18"/>
        <v>0</v>
      </c>
      <c r="P222">
        <f t="shared" si="19"/>
        <v>0</v>
      </c>
      <c r="Q222">
        <f t="shared" si="20"/>
        <v>1</v>
      </c>
      <c r="R222">
        <f t="shared" si="21"/>
        <v>0</v>
      </c>
      <c r="S222">
        <f t="shared" si="22"/>
        <v>1</v>
      </c>
      <c r="T222">
        <f t="shared" si="23"/>
        <v>0</v>
      </c>
    </row>
    <row r="223" spans="1:20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  <c r="O223">
        <f t="shared" si="18"/>
        <v>0</v>
      </c>
      <c r="P223">
        <f t="shared" si="19"/>
        <v>0</v>
      </c>
      <c r="Q223">
        <f t="shared" si="20"/>
        <v>1</v>
      </c>
      <c r="R223">
        <f t="shared" si="21"/>
        <v>0</v>
      </c>
      <c r="S223">
        <f t="shared" si="22"/>
        <v>1</v>
      </c>
      <c r="T223">
        <f t="shared" si="23"/>
        <v>0</v>
      </c>
    </row>
    <row r="224" spans="1:20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  <c r="O224">
        <f t="shared" si="18"/>
        <v>0</v>
      </c>
      <c r="P224">
        <f t="shared" si="19"/>
        <v>0</v>
      </c>
      <c r="Q224">
        <f t="shared" si="20"/>
        <v>1</v>
      </c>
      <c r="R224">
        <f t="shared" si="21"/>
        <v>0</v>
      </c>
      <c r="S224">
        <f t="shared" si="22"/>
        <v>1</v>
      </c>
      <c r="T224">
        <f t="shared" si="23"/>
        <v>0</v>
      </c>
    </row>
    <row r="225" spans="1:20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  <c r="O225">
        <f t="shared" si="18"/>
        <v>0</v>
      </c>
      <c r="P225">
        <f t="shared" si="19"/>
        <v>0</v>
      </c>
      <c r="Q225">
        <f t="shared" si="20"/>
        <v>1</v>
      </c>
      <c r="R225">
        <f t="shared" si="21"/>
        <v>0</v>
      </c>
      <c r="S225">
        <f t="shared" si="22"/>
        <v>1</v>
      </c>
      <c r="T225">
        <f t="shared" si="23"/>
        <v>0</v>
      </c>
    </row>
    <row r="226" spans="1:20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  <c r="O226">
        <f t="shared" si="18"/>
        <v>0</v>
      </c>
      <c r="P226">
        <f t="shared" si="19"/>
        <v>0</v>
      </c>
      <c r="Q226">
        <f t="shared" si="20"/>
        <v>1</v>
      </c>
      <c r="R226">
        <f t="shared" si="21"/>
        <v>1</v>
      </c>
      <c r="S226">
        <f t="shared" si="22"/>
        <v>0</v>
      </c>
      <c r="T226">
        <f t="shared" si="23"/>
        <v>0</v>
      </c>
    </row>
    <row r="227" spans="1:20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  <c r="O227">
        <f t="shared" si="18"/>
        <v>0</v>
      </c>
      <c r="P227">
        <f t="shared" si="19"/>
        <v>0</v>
      </c>
      <c r="Q227">
        <f t="shared" si="20"/>
        <v>1</v>
      </c>
      <c r="R227">
        <f t="shared" si="21"/>
        <v>1</v>
      </c>
      <c r="S227">
        <f t="shared" si="22"/>
        <v>0</v>
      </c>
      <c r="T227">
        <f t="shared" si="23"/>
        <v>0</v>
      </c>
    </row>
    <row r="228" spans="1:20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  <c r="O228">
        <f t="shared" si="18"/>
        <v>0</v>
      </c>
      <c r="P228">
        <f t="shared" si="19"/>
        <v>0</v>
      </c>
      <c r="Q228">
        <f t="shared" si="20"/>
        <v>1</v>
      </c>
      <c r="R228">
        <f t="shared" si="21"/>
        <v>1</v>
      </c>
      <c r="S228">
        <f t="shared" si="22"/>
        <v>0</v>
      </c>
      <c r="T228">
        <f t="shared" si="23"/>
        <v>0</v>
      </c>
    </row>
    <row r="229" spans="1:20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 s="4">
        <v>3.9246794871794881</v>
      </c>
      <c r="M229">
        <v>529598.93999999994</v>
      </c>
      <c r="N229">
        <v>84334.33</v>
      </c>
      <c r="O229">
        <f t="shared" si="18"/>
        <v>0</v>
      </c>
      <c r="P229">
        <f t="shared" si="19"/>
        <v>0</v>
      </c>
      <c r="Q229">
        <f t="shared" si="20"/>
        <v>1</v>
      </c>
      <c r="R229">
        <f t="shared" si="21"/>
        <v>1</v>
      </c>
      <c r="S229">
        <f t="shared" si="22"/>
        <v>0</v>
      </c>
      <c r="T229">
        <f t="shared" si="23"/>
        <v>0</v>
      </c>
    </row>
    <row r="230" spans="1:20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  <c r="O230">
        <f t="shared" si="18"/>
        <v>0</v>
      </c>
      <c r="P230">
        <f t="shared" si="19"/>
        <v>0</v>
      </c>
      <c r="Q230">
        <f t="shared" si="20"/>
        <v>1</v>
      </c>
      <c r="R230">
        <f t="shared" si="21"/>
        <v>0</v>
      </c>
      <c r="S230">
        <f t="shared" si="22"/>
        <v>1</v>
      </c>
      <c r="T230">
        <f t="shared" si="23"/>
        <v>0</v>
      </c>
    </row>
    <row r="231" spans="1:20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  <c r="O231">
        <f t="shared" si="18"/>
        <v>0</v>
      </c>
      <c r="P231">
        <f t="shared" si="19"/>
        <v>0</v>
      </c>
      <c r="Q231">
        <f t="shared" si="20"/>
        <v>1</v>
      </c>
      <c r="R231">
        <f t="shared" si="21"/>
        <v>0</v>
      </c>
      <c r="S231">
        <f t="shared" si="22"/>
        <v>1</v>
      </c>
      <c r="T231">
        <f t="shared" si="23"/>
        <v>0</v>
      </c>
    </row>
    <row r="232" spans="1:20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  <c r="O232">
        <f t="shared" si="18"/>
        <v>0</v>
      </c>
      <c r="P232">
        <f t="shared" si="19"/>
        <v>0</v>
      </c>
      <c r="Q232">
        <f t="shared" si="20"/>
        <v>1</v>
      </c>
      <c r="R232">
        <f t="shared" si="21"/>
        <v>0</v>
      </c>
      <c r="S232">
        <f t="shared" si="22"/>
        <v>1</v>
      </c>
      <c r="T232">
        <f t="shared" si="23"/>
        <v>0</v>
      </c>
    </row>
    <row r="233" spans="1:20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3.3650000000000002</v>
      </c>
      <c r="K233">
        <v>0</v>
      </c>
      <c r="L233">
        <v>3.7</v>
      </c>
      <c r="M233">
        <v>647512.85</v>
      </c>
      <c r="N233">
        <v>153835.57</v>
      </c>
      <c r="O233">
        <f t="shared" si="18"/>
        <v>0</v>
      </c>
      <c r="P233">
        <f t="shared" si="19"/>
        <v>0</v>
      </c>
      <c r="Q233">
        <f t="shared" si="20"/>
        <v>1</v>
      </c>
      <c r="R233">
        <f t="shared" si="21"/>
        <v>0</v>
      </c>
      <c r="S233">
        <f t="shared" si="22"/>
        <v>1</v>
      </c>
      <c r="T233">
        <f t="shared" si="23"/>
        <v>0</v>
      </c>
    </row>
    <row r="234" spans="1:20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  <c r="O234">
        <f t="shared" si="18"/>
        <v>0</v>
      </c>
      <c r="P234">
        <f t="shared" si="19"/>
        <v>0</v>
      </c>
      <c r="Q234">
        <f t="shared" si="20"/>
        <v>0</v>
      </c>
      <c r="R234">
        <f t="shared" si="21"/>
        <v>0</v>
      </c>
      <c r="S234">
        <f t="shared" si="22"/>
        <v>0</v>
      </c>
      <c r="T234">
        <f t="shared" si="23"/>
        <v>0</v>
      </c>
    </row>
    <row r="235" spans="1:20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  <c r="O235">
        <f t="shared" si="18"/>
        <v>0</v>
      </c>
      <c r="P235">
        <f t="shared" si="19"/>
        <v>0</v>
      </c>
      <c r="Q235">
        <f t="shared" si="20"/>
        <v>0</v>
      </c>
      <c r="R235">
        <f t="shared" si="21"/>
        <v>0</v>
      </c>
      <c r="S235">
        <f t="shared" si="22"/>
        <v>0</v>
      </c>
      <c r="T235">
        <f t="shared" si="23"/>
        <v>0</v>
      </c>
    </row>
    <row r="236" spans="1:20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  <c r="O236">
        <f t="shared" si="18"/>
        <v>0</v>
      </c>
      <c r="P236">
        <f t="shared" si="19"/>
        <v>0</v>
      </c>
      <c r="Q236">
        <f t="shared" si="20"/>
        <v>0</v>
      </c>
      <c r="R236">
        <f t="shared" si="21"/>
        <v>0</v>
      </c>
      <c r="S236">
        <f t="shared" si="22"/>
        <v>0</v>
      </c>
      <c r="T236">
        <f t="shared" si="23"/>
        <v>0</v>
      </c>
    </row>
    <row r="237" spans="1:20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  <c r="O237">
        <f t="shared" si="18"/>
        <v>0</v>
      </c>
      <c r="P237">
        <f t="shared" si="19"/>
        <v>0</v>
      </c>
      <c r="Q237">
        <f t="shared" si="20"/>
        <v>0</v>
      </c>
      <c r="R237">
        <f t="shared" si="21"/>
        <v>0</v>
      </c>
      <c r="S237">
        <f t="shared" si="22"/>
        <v>0</v>
      </c>
      <c r="T237">
        <f t="shared" si="23"/>
        <v>0</v>
      </c>
    </row>
    <row r="238" spans="1:20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  <c r="O238">
        <f t="shared" si="18"/>
        <v>0</v>
      </c>
      <c r="P238">
        <f t="shared" si="19"/>
        <v>0</v>
      </c>
      <c r="Q238">
        <f t="shared" si="20"/>
        <v>0</v>
      </c>
      <c r="R238">
        <f t="shared" si="21"/>
        <v>1</v>
      </c>
      <c r="S238">
        <f t="shared" si="22"/>
        <v>0</v>
      </c>
      <c r="T238">
        <f t="shared" si="23"/>
        <v>0</v>
      </c>
    </row>
    <row r="239" spans="1:20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  <c r="O239">
        <f t="shared" si="18"/>
        <v>0</v>
      </c>
      <c r="P239">
        <f t="shared" si="19"/>
        <v>0</v>
      </c>
      <c r="Q239">
        <f t="shared" si="20"/>
        <v>0</v>
      </c>
      <c r="R239">
        <f t="shared" si="21"/>
        <v>1</v>
      </c>
      <c r="S239">
        <f t="shared" si="22"/>
        <v>0</v>
      </c>
      <c r="T239">
        <f t="shared" si="23"/>
        <v>0</v>
      </c>
    </row>
    <row r="240" spans="1:20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  <c r="O240">
        <f t="shared" si="18"/>
        <v>0</v>
      </c>
      <c r="P240">
        <f t="shared" si="19"/>
        <v>0</v>
      </c>
      <c r="Q240">
        <f t="shared" si="20"/>
        <v>0</v>
      </c>
      <c r="R240">
        <f t="shared" si="21"/>
        <v>1</v>
      </c>
      <c r="S240">
        <f t="shared" si="22"/>
        <v>0</v>
      </c>
      <c r="T240">
        <f t="shared" si="23"/>
        <v>0</v>
      </c>
    </row>
    <row r="241" spans="1:20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  <c r="O241">
        <f t="shared" si="18"/>
        <v>0</v>
      </c>
      <c r="P241">
        <f t="shared" si="19"/>
        <v>0</v>
      </c>
      <c r="Q241">
        <f t="shared" si="20"/>
        <v>0</v>
      </c>
      <c r="R241">
        <f t="shared" si="21"/>
        <v>1</v>
      </c>
      <c r="S241">
        <f t="shared" si="22"/>
        <v>0</v>
      </c>
      <c r="T241">
        <f t="shared" si="23"/>
        <v>0</v>
      </c>
    </row>
    <row r="242" spans="1:20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  <c r="O242">
        <f t="shared" si="18"/>
        <v>0</v>
      </c>
      <c r="P242">
        <f t="shared" si="19"/>
        <v>1</v>
      </c>
      <c r="Q242">
        <f t="shared" si="20"/>
        <v>0</v>
      </c>
      <c r="R242">
        <f t="shared" si="21"/>
        <v>0</v>
      </c>
      <c r="S242">
        <f t="shared" si="22"/>
        <v>0</v>
      </c>
      <c r="T242">
        <f t="shared" si="23"/>
        <v>1</v>
      </c>
    </row>
    <row r="243" spans="1:20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  <c r="O243">
        <f t="shared" si="18"/>
        <v>0</v>
      </c>
      <c r="P243">
        <f t="shared" si="19"/>
        <v>1</v>
      </c>
      <c r="Q243">
        <f t="shared" si="20"/>
        <v>0</v>
      </c>
      <c r="R243">
        <f t="shared" si="21"/>
        <v>0</v>
      </c>
      <c r="S243">
        <f t="shared" si="22"/>
        <v>0</v>
      </c>
      <c r="T243">
        <f t="shared" si="23"/>
        <v>1</v>
      </c>
    </row>
    <row r="244" spans="1:20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  <c r="O244">
        <f t="shared" si="18"/>
        <v>0</v>
      </c>
      <c r="P244">
        <f t="shared" si="19"/>
        <v>1</v>
      </c>
      <c r="Q244">
        <f t="shared" si="20"/>
        <v>0</v>
      </c>
      <c r="R244">
        <f t="shared" si="21"/>
        <v>0</v>
      </c>
      <c r="S244">
        <f t="shared" si="22"/>
        <v>0</v>
      </c>
      <c r="T244">
        <f t="shared" si="23"/>
        <v>1</v>
      </c>
    </row>
    <row r="245" spans="1:20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  <c r="O245">
        <f t="shared" si="18"/>
        <v>0</v>
      </c>
      <c r="P245">
        <f t="shared" si="19"/>
        <v>1</v>
      </c>
      <c r="Q245">
        <f t="shared" si="20"/>
        <v>0</v>
      </c>
      <c r="R245">
        <f t="shared" si="21"/>
        <v>0</v>
      </c>
      <c r="S245">
        <f t="shared" si="22"/>
        <v>0</v>
      </c>
      <c r="T245">
        <f t="shared" si="23"/>
        <v>1</v>
      </c>
    </row>
    <row r="246" spans="1:20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  <c r="O246">
        <f t="shared" si="18"/>
        <v>0</v>
      </c>
      <c r="P246">
        <f t="shared" si="19"/>
        <v>0</v>
      </c>
      <c r="Q246">
        <f t="shared" si="20"/>
        <v>1</v>
      </c>
      <c r="R246">
        <f t="shared" si="21"/>
        <v>0</v>
      </c>
      <c r="S246">
        <f t="shared" si="22"/>
        <v>1</v>
      </c>
      <c r="T246">
        <f t="shared" si="23"/>
        <v>0</v>
      </c>
    </row>
    <row r="247" spans="1:20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  <c r="O247">
        <f t="shared" si="18"/>
        <v>0</v>
      </c>
      <c r="P247">
        <f t="shared" si="19"/>
        <v>0</v>
      </c>
      <c r="Q247">
        <f t="shared" si="20"/>
        <v>1</v>
      </c>
      <c r="R247">
        <f t="shared" si="21"/>
        <v>0</v>
      </c>
      <c r="S247">
        <f t="shared" si="22"/>
        <v>1</v>
      </c>
      <c r="T247">
        <f t="shared" si="23"/>
        <v>0</v>
      </c>
    </row>
    <row r="248" spans="1:20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  <c r="O248">
        <f t="shared" si="18"/>
        <v>0</v>
      </c>
      <c r="P248">
        <f t="shared" si="19"/>
        <v>0</v>
      </c>
      <c r="Q248">
        <f t="shared" si="20"/>
        <v>1</v>
      </c>
      <c r="R248">
        <f t="shared" si="21"/>
        <v>0</v>
      </c>
      <c r="S248">
        <f t="shared" si="22"/>
        <v>1</v>
      </c>
      <c r="T248">
        <f t="shared" si="23"/>
        <v>0</v>
      </c>
    </row>
    <row r="249" spans="1:20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  <c r="O249">
        <f t="shared" si="18"/>
        <v>0</v>
      </c>
      <c r="P249">
        <f t="shared" si="19"/>
        <v>0</v>
      </c>
      <c r="Q249">
        <f t="shared" si="20"/>
        <v>1</v>
      </c>
      <c r="R249">
        <f t="shared" si="21"/>
        <v>0</v>
      </c>
      <c r="S249">
        <f t="shared" si="22"/>
        <v>1</v>
      </c>
      <c r="T249">
        <f t="shared" si="23"/>
        <v>0</v>
      </c>
    </row>
    <row r="250" spans="1:20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3.3650000000000002</v>
      </c>
      <c r="K250">
        <v>0</v>
      </c>
      <c r="L250">
        <v>3.8</v>
      </c>
      <c r="M250">
        <v>606783.67000000004</v>
      </c>
      <c r="N250">
        <v>74515.87</v>
      </c>
      <c r="O250">
        <f t="shared" si="18"/>
        <v>1</v>
      </c>
      <c r="P250">
        <f t="shared" si="19"/>
        <v>0</v>
      </c>
      <c r="Q250">
        <f t="shared" si="20"/>
        <v>0</v>
      </c>
      <c r="R250">
        <f t="shared" si="21"/>
        <v>0</v>
      </c>
      <c r="S250">
        <f t="shared" si="22"/>
        <v>1</v>
      </c>
      <c r="T250">
        <f t="shared" si="23"/>
        <v>0</v>
      </c>
    </row>
    <row r="251" spans="1:20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  <c r="O251">
        <f t="shared" si="18"/>
        <v>1</v>
      </c>
      <c r="P251">
        <f t="shared" si="19"/>
        <v>0</v>
      </c>
      <c r="Q251">
        <f t="shared" si="20"/>
        <v>0</v>
      </c>
      <c r="R251">
        <f t="shared" si="21"/>
        <v>0</v>
      </c>
      <c r="S251">
        <f t="shared" si="22"/>
        <v>1</v>
      </c>
      <c r="T251">
        <f t="shared" si="23"/>
        <v>0</v>
      </c>
    </row>
    <row r="252" spans="1:20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  <c r="O252">
        <f t="shared" si="18"/>
        <v>1</v>
      </c>
      <c r="P252">
        <f t="shared" si="19"/>
        <v>0</v>
      </c>
      <c r="Q252">
        <f t="shared" si="20"/>
        <v>0</v>
      </c>
      <c r="R252">
        <f t="shared" si="21"/>
        <v>0</v>
      </c>
      <c r="S252">
        <f t="shared" si="22"/>
        <v>1</v>
      </c>
      <c r="T252">
        <f t="shared" si="23"/>
        <v>0</v>
      </c>
    </row>
    <row r="253" spans="1:20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  <c r="O253">
        <f t="shared" si="18"/>
        <v>1</v>
      </c>
      <c r="P253">
        <f t="shared" si="19"/>
        <v>0</v>
      </c>
      <c r="Q253">
        <f t="shared" si="20"/>
        <v>0</v>
      </c>
      <c r="R253">
        <f t="shared" si="21"/>
        <v>0</v>
      </c>
      <c r="S253">
        <f t="shared" si="22"/>
        <v>1</v>
      </c>
      <c r="T253">
        <f t="shared" si="23"/>
        <v>0</v>
      </c>
    </row>
    <row r="254" spans="1:20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  <c r="O254">
        <f t="shared" si="18"/>
        <v>0</v>
      </c>
      <c r="P254">
        <f t="shared" si="19"/>
        <v>1</v>
      </c>
      <c r="Q254">
        <f t="shared" si="20"/>
        <v>0</v>
      </c>
      <c r="R254">
        <f t="shared" si="21"/>
        <v>0</v>
      </c>
      <c r="S254">
        <f t="shared" si="22"/>
        <v>0</v>
      </c>
      <c r="T254">
        <f t="shared" si="23"/>
        <v>1</v>
      </c>
    </row>
    <row r="255" spans="1:20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  <c r="O255">
        <f t="shared" si="18"/>
        <v>0</v>
      </c>
      <c r="P255">
        <f t="shared" si="19"/>
        <v>1</v>
      </c>
      <c r="Q255">
        <f t="shared" si="20"/>
        <v>0</v>
      </c>
      <c r="R255">
        <f t="shared" si="21"/>
        <v>0</v>
      </c>
      <c r="S255">
        <f t="shared" si="22"/>
        <v>0</v>
      </c>
      <c r="T255">
        <f t="shared" si="23"/>
        <v>1</v>
      </c>
    </row>
    <row r="256" spans="1:20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  <c r="O256">
        <f t="shared" si="18"/>
        <v>0</v>
      </c>
      <c r="P256">
        <f t="shared" si="19"/>
        <v>1</v>
      </c>
      <c r="Q256">
        <f t="shared" si="20"/>
        <v>0</v>
      </c>
      <c r="R256">
        <f t="shared" si="21"/>
        <v>0</v>
      </c>
      <c r="S256">
        <f t="shared" si="22"/>
        <v>0</v>
      </c>
      <c r="T256">
        <f t="shared" si="23"/>
        <v>1</v>
      </c>
    </row>
    <row r="257" spans="1:20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  <c r="O257">
        <f t="shared" si="18"/>
        <v>0</v>
      </c>
      <c r="P257">
        <f t="shared" si="19"/>
        <v>1</v>
      </c>
      <c r="Q257">
        <f t="shared" si="20"/>
        <v>0</v>
      </c>
      <c r="R257">
        <f t="shared" si="21"/>
        <v>0</v>
      </c>
      <c r="S257">
        <f t="shared" si="22"/>
        <v>0</v>
      </c>
      <c r="T257">
        <f t="shared" si="23"/>
        <v>1</v>
      </c>
    </row>
    <row r="258" spans="1:20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  <c r="O258">
        <f t="shared" si="18"/>
        <v>0</v>
      </c>
      <c r="P258">
        <f t="shared" si="19"/>
        <v>1</v>
      </c>
      <c r="Q258">
        <f t="shared" si="20"/>
        <v>0</v>
      </c>
      <c r="R258">
        <f t="shared" si="21"/>
        <v>1</v>
      </c>
      <c r="S258">
        <f t="shared" si="22"/>
        <v>0</v>
      </c>
      <c r="T258">
        <f t="shared" si="23"/>
        <v>0</v>
      </c>
    </row>
    <row r="259" spans="1:20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  <c r="O259">
        <f t="shared" ref="O259:O321" si="24">IF(C259="North",1,0)</f>
        <v>0</v>
      </c>
      <c r="P259">
        <f t="shared" ref="P259:P321" si="25">IF(C259="South",1,0)</f>
        <v>1</v>
      </c>
      <c r="Q259">
        <f t="shared" ref="Q259:Q321" si="26">IF(C259="East",1,0)</f>
        <v>0</v>
      </c>
      <c r="R259">
        <f t="shared" ref="R259:R321" si="27">IF(D259="Mall",1,0)</f>
        <v>1</v>
      </c>
      <c r="S259">
        <f t="shared" ref="S259:S321" si="28">IF(D259="High Street",1,0)</f>
        <v>0</v>
      </c>
      <c r="T259">
        <f t="shared" ref="T259:T321" si="29">IF(D259="Airport",1,0)</f>
        <v>0</v>
      </c>
    </row>
    <row r="260" spans="1:20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  <c r="O260">
        <f t="shared" si="24"/>
        <v>0</v>
      </c>
      <c r="P260">
        <f t="shared" si="25"/>
        <v>1</v>
      </c>
      <c r="Q260">
        <f t="shared" si="26"/>
        <v>0</v>
      </c>
      <c r="R260">
        <f t="shared" si="27"/>
        <v>1</v>
      </c>
      <c r="S260">
        <f t="shared" si="28"/>
        <v>0</v>
      </c>
      <c r="T260">
        <f t="shared" si="29"/>
        <v>0</v>
      </c>
    </row>
    <row r="261" spans="1:20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  <c r="O261">
        <f t="shared" si="24"/>
        <v>0</v>
      </c>
      <c r="P261">
        <f t="shared" si="25"/>
        <v>1</v>
      </c>
      <c r="Q261">
        <f t="shared" si="26"/>
        <v>0</v>
      </c>
      <c r="R261">
        <f t="shared" si="27"/>
        <v>1</v>
      </c>
      <c r="S261">
        <f t="shared" si="28"/>
        <v>0</v>
      </c>
      <c r="T261">
        <f t="shared" si="29"/>
        <v>0</v>
      </c>
    </row>
    <row r="262" spans="1:20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  <c r="O262">
        <f t="shared" si="24"/>
        <v>0</v>
      </c>
      <c r="P262">
        <f t="shared" si="25"/>
        <v>0</v>
      </c>
      <c r="Q262">
        <f t="shared" si="26"/>
        <v>0</v>
      </c>
      <c r="R262">
        <f t="shared" si="27"/>
        <v>0</v>
      </c>
      <c r="S262">
        <f t="shared" si="28"/>
        <v>1</v>
      </c>
      <c r="T262">
        <f t="shared" si="29"/>
        <v>0</v>
      </c>
    </row>
    <row r="263" spans="1:20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3.3650000000000002</v>
      </c>
      <c r="K263">
        <v>0</v>
      </c>
      <c r="L263">
        <v>4.2</v>
      </c>
      <c r="M263">
        <v>605751.32999999996</v>
      </c>
      <c r="N263">
        <v>60685.53</v>
      </c>
      <c r="O263">
        <f t="shared" si="24"/>
        <v>0</v>
      </c>
      <c r="P263">
        <f t="shared" si="25"/>
        <v>0</v>
      </c>
      <c r="Q263">
        <f t="shared" si="26"/>
        <v>0</v>
      </c>
      <c r="R263">
        <f t="shared" si="27"/>
        <v>0</v>
      </c>
      <c r="S263">
        <f t="shared" si="28"/>
        <v>1</v>
      </c>
      <c r="T263">
        <f t="shared" si="29"/>
        <v>0</v>
      </c>
    </row>
    <row r="264" spans="1:20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  <c r="O264">
        <f t="shared" si="24"/>
        <v>0</v>
      </c>
      <c r="P264">
        <f t="shared" si="25"/>
        <v>0</v>
      </c>
      <c r="Q264">
        <f t="shared" si="26"/>
        <v>0</v>
      </c>
      <c r="R264">
        <f t="shared" si="27"/>
        <v>0</v>
      </c>
      <c r="S264">
        <f t="shared" si="28"/>
        <v>1</v>
      </c>
      <c r="T264">
        <f t="shared" si="29"/>
        <v>0</v>
      </c>
    </row>
    <row r="265" spans="1:20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  <c r="O265">
        <f t="shared" si="24"/>
        <v>0</v>
      </c>
      <c r="P265">
        <f t="shared" si="25"/>
        <v>0</v>
      </c>
      <c r="Q265">
        <f t="shared" si="26"/>
        <v>0</v>
      </c>
      <c r="R265">
        <f t="shared" si="27"/>
        <v>0</v>
      </c>
      <c r="S265">
        <f t="shared" si="28"/>
        <v>1</v>
      </c>
      <c r="T265">
        <f t="shared" si="29"/>
        <v>0</v>
      </c>
    </row>
    <row r="266" spans="1:20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  <c r="O266">
        <f t="shared" si="24"/>
        <v>0</v>
      </c>
      <c r="P266">
        <f t="shared" si="25"/>
        <v>0</v>
      </c>
      <c r="Q266">
        <f t="shared" si="26"/>
        <v>1</v>
      </c>
      <c r="R266">
        <f t="shared" si="27"/>
        <v>0</v>
      </c>
      <c r="S266">
        <f t="shared" si="28"/>
        <v>1</v>
      </c>
      <c r="T266">
        <f t="shared" si="29"/>
        <v>0</v>
      </c>
    </row>
    <row r="267" spans="1:20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  <c r="O267">
        <f t="shared" si="24"/>
        <v>0</v>
      </c>
      <c r="P267">
        <f t="shared" si="25"/>
        <v>0</v>
      </c>
      <c r="Q267">
        <f t="shared" si="26"/>
        <v>1</v>
      </c>
      <c r="R267">
        <f t="shared" si="27"/>
        <v>0</v>
      </c>
      <c r="S267">
        <f t="shared" si="28"/>
        <v>1</v>
      </c>
      <c r="T267">
        <f t="shared" si="29"/>
        <v>0</v>
      </c>
    </row>
    <row r="268" spans="1:20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  <c r="O268">
        <f t="shared" si="24"/>
        <v>0</v>
      </c>
      <c r="P268">
        <f t="shared" si="25"/>
        <v>0</v>
      </c>
      <c r="Q268">
        <f t="shared" si="26"/>
        <v>1</v>
      </c>
      <c r="R268">
        <f t="shared" si="27"/>
        <v>0</v>
      </c>
      <c r="S268">
        <f t="shared" si="28"/>
        <v>1</v>
      </c>
      <c r="T268">
        <f t="shared" si="29"/>
        <v>0</v>
      </c>
    </row>
    <row r="269" spans="1:20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  <c r="O269">
        <f t="shared" si="24"/>
        <v>0</v>
      </c>
      <c r="P269">
        <f t="shared" si="25"/>
        <v>0</v>
      </c>
      <c r="Q269">
        <f t="shared" si="26"/>
        <v>1</v>
      </c>
      <c r="R269">
        <f t="shared" si="27"/>
        <v>0</v>
      </c>
      <c r="S269">
        <f t="shared" si="28"/>
        <v>1</v>
      </c>
      <c r="T269">
        <f t="shared" si="29"/>
        <v>0</v>
      </c>
    </row>
    <row r="270" spans="1:20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  <c r="O270">
        <f t="shared" si="24"/>
        <v>0</v>
      </c>
      <c r="P270">
        <f t="shared" si="25"/>
        <v>0</v>
      </c>
      <c r="Q270">
        <f t="shared" si="26"/>
        <v>1</v>
      </c>
      <c r="R270">
        <f t="shared" si="27"/>
        <v>1</v>
      </c>
      <c r="S270">
        <f t="shared" si="28"/>
        <v>0</v>
      </c>
      <c r="T270">
        <f t="shared" si="29"/>
        <v>0</v>
      </c>
    </row>
    <row r="271" spans="1:20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  <c r="O271">
        <f t="shared" si="24"/>
        <v>0</v>
      </c>
      <c r="P271">
        <f t="shared" si="25"/>
        <v>0</v>
      </c>
      <c r="Q271">
        <f t="shared" si="26"/>
        <v>1</v>
      </c>
      <c r="R271">
        <f t="shared" si="27"/>
        <v>1</v>
      </c>
      <c r="S271">
        <f t="shared" si="28"/>
        <v>0</v>
      </c>
      <c r="T271">
        <f t="shared" si="29"/>
        <v>0</v>
      </c>
    </row>
    <row r="272" spans="1:20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  <c r="O272">
        <f t="shared" si="24"/>
        <v>0</v>
      </c>
      <c r="P272">
        <f t="shared" si="25"/>
        <v>0</v>
      </c>
      <c r="Q272">
        <f t="shared" si="26"/>
        <v>1</v>
      </c>
      <c r="R272">
        <f t="shared" si="27"/>
        <v>1</v>
      </c>
      <c r="S272">
        <f t="shared" si="28"/>
        <v>0</v>
      </c>
      <c r="T272">
        <f t="shared" si="29"/>
        <v>0</v>
      </c>
    </row>
    <row r="273" spans="1:20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  <c r="O273">
        <f t="shared" si="24"/>
        <v>0</v>
      </c>
      <c r="P273">
        <f t="shared" si="25"/>
        <v>0</v>
      </c>
      <c r="Q273">
        <f t="shared" si="26"/>
        <v>1</v>
      </c>
      <c r="R273">
        <f t="shared" si="27"/>
        <v>1</v>
      </c>
      <c r="S273">
        <f t="shared" si="28"/>
        <v>0</v>
      </c>
      <c r="T273">
        <f t="shared" si="29"/>
        <v>0</v>
      </c>
    </row>
    <row r="274" spans="1:20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  <c r="O274">
        <f t="shared" si="24"/>
        <v>0</v>
      </c>
      <c r="P274">
        <f t="shared" si="25"/>
        <v>0</v>
      </c>
      <c r="Q274">
        <f t="shared" si="26"/>
        <v>0</v>
      </c>
      <c r="R274">
        <f t="shared" si="27"/>
        <v>0</v>
      </c>
      <c r="S274">
        <f t="shared" si="28"/>
        <v>1</v>
      </c>
      <c r="T274">
        <f t="shared" si="29"/>
        <v>0</v>
      </c>
    </row>
    <row r="275" spans="1:20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  <c r="O275">
        <f t="shared" si="24"/>
        <v>0</v>
      </c>
      <c r="P275">
        <f t="shared" si="25"/>
        <v>0</v>
      </c>
      <c r="Q275">
        <f t="shared" si="26"/>
        <v>0</v>
      </c>
      <c r="R275">
        <f t="shared" si="27"/>
        <v>0</v>
      </c>
      <c r="S275">
        <f t="shared" si="28"/>
        <v>1</v>
      </c>
      <c r="T275">
        <f t="shared" si="29"/>
        <v>0</v>
      </c>
    </row>
    <row r="276" spans="1:20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  <c r="O276">
        <f t="shared" si="24"/>
        <v>0</v>
      </c>
      <c r="P276">
        <f t="shared" si="25"/>
        <v>0</v>
      </c>
      <c r="Q276">
        <f t="shared" si="26"/>
        <v>0</v>
      </c>
      <c r="R276">
        <f t="shared" si="27"/>
        <v>0</v>
      </c>
      <c r="S276">
        <f t="shared" si="28"/>
        <v>1</v>
      </c>
      <c r="T276">
        <f t="shared" si="29"/>
        <v>0</v>
      </c>
    </row>
    <row r="277" spans="1:20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  <c r="O277">
        <f t="shared" si="24"/>
        <v>0</v>
      </c>
      <c r="P277">
        <f t="shared" si="25"/>
        <v>0</v>
      </c>
      <c r="Q277">
        <f t="shared" si="26"/>
        <v>0</v>
      </c>
      <c r="R277">
        <f t="shared" si="27"/>
        <v>0</v>
      </c>
      <c r="S277">
        <f t="shared" si="28"/>
        <v>1</v>
      </c>
      <c r="T277">
        <f t="shared" si="29"/>
        <v>0</v>
      </c>
    </row>
    <row r="278" spans="1:20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  <c r="O278">
        <f t="shared" si="24"/>
        <v>0</v>
      </c>
      <c r="P278">
        <f t="shared" si="25"/>
        <v>1</v>
      </c>
      <c r="Q278">
        <f t="shared" si="26"/>
        <v>0</v>
      </c>
      <c r="R278">
        <f t="shared" si="27"/>
        <v>0</v>
      </c>
      <c r="S278">
        <f t="shared" si="28"/>
        <v>0</v>
      </c>
      <c r="T278">
        <f t="shared" si="29"/>
        <v>0</v>
      </c>
    </row>
    <row r="279" spans="1:20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  <c r="O279">
        <f t="shared" si="24"/>
        <v>0</v>
      </c>
      <c r="P279">
        <f t="shared" si="25"/>
        <v>1</v>
      </c>
      <c r="Q279">
        <f t="shared" si="26"/>
        <v>0</v>
      </c>
      <c r="R279">
        <f t="shared" si="27"/>
        <v>0</v>
      </c>
      <c r="S279">
        <f t="shared" si="28"/>
        <v>0</v>
      </c>
      <c r="T279">
        <f t="shared" si="29"/>
        <v>0</v>
      </c>
    </row>
    <row r="280" spans="1:20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  <c r="O280">
        <f t="shared" si="24"/>
        <v>0</v>
      </c>
      <c r="P280">
        <f t="shared" si="25"/>
        <v>1</v>
      </c>
      <c r="Q280">
        <f t="shared" si="26"/>
        <v>0</v>
      </c>
      <c r="R280">
        <f t="shared" si="27"/>
        <v>0</v>
      </c>
      <c r="S280">
        <f t="shared" si="28"/>
        <v>0</v>
      </c>
      <c r="T280">
        <f t="shared" si="29"/>
        <v>0</v>
      </c>
    </row>
    <row r="281" spans="1:20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  <c r="O281">
        <f t="shared" si="24"/>
        <v>0</v>
      </c>
      <c r="P281">
        <f t="shared" si="25"/>
        <v>1</v>
      </c>
      <c r="Q281">
        <f t="shared" si="26"/>
        <v>0</v>
      </c>
      <c r="R281">
        <f t="shared" si="27"/>
        <v>0</v>
      </c>
      <c r="S281">
        <f t="shared" si="28"/>
        <v>0</v>
      </c>
      <c r="T281">
        <f t="shared" si="29"/>
        <v>0</v>
      </c>
    </row>
    <row r="282" spans="1:20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  <c r="O282">
        <f t="shared" si="24"/>
        <v>0</v>
      </c>
      <c r="P282">
        <f t="shared" si="25"/>
        <v>1</v>
      </c>
      <c r="Q282">
        <f t="shared" si="26"/>
        <v>0</v>
      </c>
      <c r="R282">
        <f t="shared" si="27"/>
        <v>0</v>
      </c>
      <c r="S282">
        <f t="shared" si="28"/>
        <v>1</v>
      </c>
      <c r="T282">
        <f t="shared" si="29"/>
        <v>0</v>
      </c>
    </row>
    <row r="283" spans="1:20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  <c r="O283">
        <f t="shared" si="24"/>
        <v>0</v>
      </c>
      <c r="P283">
        <f t="shared" si="25"/>
        <v>1</v>
      </c>
      <c r="Q283">
        <f t="shared" si="26"/>
        <v>0</v>
      </c>
      <c r="R283">
        <f t="shared" si="27"/>
        <v>0</v>
      </c>
      <c r="S283">
        <f t="shared" si="28"/>
        <v>1</v>
      </c>
      <c r="T283">
        <f t="shared" si="29"/>
        <v>0</v>
      </c>
    </row>
    <row r="284" spans="1:20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  <c r="O284">
        <f t="shared" si="24"/>
        <v>0</v>
      </c>
      <c r="P284">
        <f t="shared" si="25"/>
        <v>1</v>
      </c>
      <c r="Q284">
        <f t="shared" si="26"/>
        <v>0</v>
      </c>
      <c r="R284">
        <f t="shared" si="27"/>
        <v>0</v>
      </c>
      <c r="S284">
        <f t="shared" si="28"/>
        <v>1</v>
      </c>
      <c r="T284">
        <f t="shared" si="29"/>
        <v>0</v>
      </c>
    </row>
    <row r="285" spans="1:20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  <c r="O285">
        <f t="shared" si="24"/>
        <v>0</v>
      </c>
      <c r="P285">
        <f t="shared" si="25"/>
        <v>1</v>
      </c>
      <c r="Q285">
        <f t="shared" si="26"/>
        <v>0</v>
      </c>
      <c r="R285">
        <f t="shared" si="27"/>
        <v>0</v>
      </c>
      <c r="S285">
        <f t="shared" si="28"/>
        <v>1</v>
      </c>
      <c r="T285">
        <f t="shared" si="29"/>
        <v>0</v>
      </c>
    </row>
    <row r="286" spans="1:20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  <c r="O286">
        <f t="shared" si="24"/>
        <v>0</v>
      </c>
      <c r="P286">
        <f t="shared" si="25"/>
        <v>0</v>
      </c>
      <c r="Q286">
        <f t="shared" si="26"/>
        <v>0</v>
      </c>
      <c r="R286">
        <f t="shared" si="27"/>
        <v>0</v>
      </c>
      <c r="S286">
        <f t="shared" si="28"/>
        <v>0</v>
      </c>
      <c r="T286">
        <f t="shared" si="29"/>
        <v>0</v>
      </c>
    </row>
    <row r="287" spans="1:20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  <c r="O287">
        <f t="shared" si="24"/>
        <v>0</v>
      </c>
      <c r="P287">
        <f t="shared" si="25"/>
        <v>0</v>
      </c>
      <c r="Q287">
        <f t="shared" si="26"/>
        <v>0</v>
      </c>
      <c r="R287">
        <f t="shared" si="27"/>
        <v>0</v>
      </c>
      <c r="S287">
        <f t="shared" si="28"/>
        <v>0</v>
      </c>
      <c r="T287">
        <f t="shared" si="29"/>
        <v>0</v>
      </c>
    </row>
    <row r="288" spans="1:20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  <c r="O288">
        <f t="shared" si="24"/>
        <v>0</v>
      </c>
      <c r="P288">
        <f t="shared" si="25"/>
        <v>0</v>
      </c>
      <c r="Q288">
        <f t="shared" si="26"/>
        <v>0</v>
      </c>
      <c r="R288">
        <f t="shared" si="27"/>
        <v>0</v>
      </c>
      <c r="S288">
        <f t="shared" si="28"/>
        <v>0</v>
      </c>
      <c r="T288">
        <f t="shared" si="29"/>
        <v>0</v>
      </c>
    </row>
    <row r="289" spans="1:20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  <c r="O289">
        <f t="shared" si="24"/>
        <v>0</v>
      </c>
      <c r="P289">
        <f t="shared" si="25"/>
        <v>0</v>
      </c>
      <c r="Q289">
        <f t="shared" si="26"/>
        <v>0</v>
      </c>
      <c r="R289">
        <f t="shared" si="27"/>
        <v>0</v>
      </c>
      <c r="S289">
        <f t="shared" si="28"/>
        <v>0</v>
      </c>
      <c r="T289">
        <f t="shared" si="29"/>
        <v>0</v>
      </c>
    </row>
    <row r="290" spans="1:20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  <c r="O290">
        <f t="shared" si="24"/>
        <v>0</v>
      </c>
      <c r="P290">
        <f t="shared" si="25"/>
        <v>0</v>
      </c>
      <c r="Q290">
        <f t="shared" si="26"/>
        <v>1</v>
      </c>
      <c r="R290">
        <f t="shared" si="27"/>
        <v>0</v>
      </c>
      <c r="S290">
        <f t="shared" si="28"/>
        <v>0</v>
      </c>
      <c r="T290">
        <f t="shared" si="29"/>
        <v>0</v>
      </c>
    </row>
    <row r="291" spans="1:20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  <c r="O291">
        <f t="shared" si="24"/>
        <v>0</v>
      </c>
      <c r="P291">
        <f t="shared" si="25"/>
        <v>0</v>
      </c>
      <c r="Q291">
        <f t="shared" si="26"/>
        <v>1</v>
      </c>
      <c r="R291">
        <f t="shared" si="27"/>
        <v>0</v>
      </c>
      <c r="S291">
        <f t="shared" si="28"/>
        <v>0</v>
      </c>
      <c r="T291">
        <f t="shared" si="29"/>
        <v>0</v>
      </c>
    </row>
    <row r="292" spans="1:20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  <c r="O292">
        <f t="shared" si="24"/>
        <v>0</v>
      </c>
      <c r="P292">
        <f t="shared" si="25"/>
        <v>0</v>
      </c>
      <c r="Q292">
        <f t="shared" si="26"/>
        <v>1</v>
      </c>
      <c r="R292">
        <f t="shared" si="27"/>
        <v>0</v>
      </c>
      <c r="S292">
        <f t="shared" si="28"/>
        <v>0</v>
      </c>
      <c r="T292">
        <f t="shared" si="29"/>
        <v>0</v>
      </c>
    </row>
    <row r="293" spans="1:20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  <c r="O293">
        <f t="shared" si="24"/>
        <v>0</v>
      </c>
      <c r="P293">
        <f t="shared" si="25"/>
        <v>0</v>
      </c>
      <c r="Q293">
        <f t="shared" si="26"/>
        <v>1</v>
      </c>
      <c r="R293">
        <f t="shared" si="27"/>
        <v>0</v>
      </c>
      <c r="S293">
        <f t="shared" si="28"/>
        <v>0</v>
      </c>
      <c r="T293">
        <f t="shared" si="29"/>
        <v>0</v>
      </c>
    </row>
    <row r="294" spans="1:20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  <c r="O294">
        <f t="shared" si="24"/>
        <v>0</v>
      </c>
      <c r="P294">
        <f t="shared" si="25"/>
        <v>0</v>
      </c>
      <c r="Q294">
        <f t="shared" si="26"/>
        <v>0</v>
      </c>
      <c r="R294">
        <f t="shared" si="27"/>
        <v>0</v>
      </c>
      <c r="S294">
        <f t="shared" si="28"/>
        <v>1</v>
      </c>
      <c r="T294">
        <f t="shared" si="29"/>
        <v>0</v>
      </c>
    </row>
    <row r="295" spans="1:20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  <c r="O295">
        <f t="shared" si="24"/>
        <v>0</v>
      </c>
      <c r="P295">
        <f t="shared" si="25"/>
        <v>0</v>
      </c>
      <c r="Q295">
        <f t="shared" si="26"/>
        <v>0</v>
      </c>
      <c r="R295">
        <f t="shared" si="27"/>
        <v>0</v>
      </c>
      <c r="S295">
        <f t="shared" si="28"/>
        <v>1</v>
      </c>
      <c r="T295">
        <f t="shared" si="29"/>
        <v>0</v>
      </c>
    </row>
    <row r="296" spans="1:20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  <c r="O296">
        <f t="shared" si="24"/>
        <v>0</v>
      </c>
      <c r="P296">
        <f t="shared" si="25"/>
        <v>0</v>
      </c>
      <c r="Q296">
        <f t="shared" si="26"/>
        <v>0</v>
      </c>
      <c r="R296">
        <f t="shared" si="27"/>
        <v>0</v>
      </c>
      <c r="S296">
        <f t="shared" si="28"/>
        <v>1</v>
      </c>
      <c r="T296">
        <f t="shared" si="29"/>
        <v>0</v>
      </c>
    </row>
    <row r="297" spans="1:20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  <c r="O297">
        <f t="shared" si="24"/>
        <v>0</v>
      </c>
      <c r="P297">
        <f t="shared" si="25"/>
        <v>0</v>
      </c>
      <c r="Q297">
        <f t="shared" si="26"/>
        <v>0</v>
      </c>
      <c r="R297">
        <f t="shared" si="27"/>
        <v>0</v>
      </c>
      <c r="S297">
        <f t="shared" si="28"/>
        <v>1</v>
      </c>
      <c r="T297">
        <f t="shared" si="29"/>
        <v>0</v>
      </c>
    </row>
    <row r="298" spans="1:20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  <c r="O298">
        <f t="shared" si="24"/>
        <v>0</v>
      </c>
      <c r="P298">
        <f t="shared" si="25"/>
        <v>0</v>
      </c>
      <c r="Q298">
        <f t="shared" si="26"/>
        <v>0</v>
      </c>
      <c r="R298">
        <f t="shared" si="27"/>
        <v>0</v>
      </c>
      <c r="S298">
        <f t="shared" si="28"/>
        <v>1</v>
      </c>
      <c r="T298">
        <f t="shared" si="29"/>
        <v>0</v>
      </c>
    </row>
    <row r="299" spans="1:20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  <c r="O299">
        <f t="shared" si="24"/>
        <v>0</v>
      </c>
      <c r="P299">
        <f t="shared" si="25"/>
        <v>0</v>
      </c>
      <c r="Q299">
        <f t="shared" si="26"/>
        <v>0</v>
      </c>
      <c r="R299">
        <f t="shared" si="27"/>
        <v>0</v>
      </c>
      <c r="S299">
        <f t="shared" si="28"/>
        <v>1</v>
      </c>
      <c r="T299">
        <f t="shared" si="29"/>
        <v>0</v>
      </c>
    </row>
    <row r="300" spans="1:20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  <c r="O300">
        <f t="shared" si="24"/>
        <v>0</v>
      </c>
      <c r="P300">
        <f t="shared" si="25"/>
        <v>0</v>
      </c>
      <c r="Q300">
        <f t="shared" si="26"/>
        <v>0</v>
      </c>
      <c r="R300">
        <f t="shared" si="27"/>
        <v>0</v>
      </c>
      <c r="S300">
        <f t="shared" si="28"/>
        <v>1</v>
      </c>
      <c r="T300">
        <f t="shared" si="29"/>
        <v>0</v>
      </c>
    </row>
    <row r="301" spans="1:20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  <c r="O301">
        <f t="shared" si="24"/>
        <v>0</v>
      </c>
      <c r="P301">
        <f t="shared" si="25"/>
        <v>0</v>
      </c>
      <c r="Q301">
        <f t="shared" si="26"/>
        <v>0</v>
      </c>
      <c r="R301">
        <f t="shared" si="27"/>
        <v>0</v>
      </c>
      <c r="S301">
        <f t="shared" si="28"/>
        <v>1</v>
      </c>
      <c r="T301">
        <f t="shared" si="29"/>
        <v>0</v>
      </c>
    </row>
    <row r="302" spans="1:20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  <c r="O302">
        <f t="shared" si="24"/>
        <v>1</v>
      </c>
      <c r="P302">
        <f t="shared" si="25"/>
        <v>0</v>
      </c>
      <c r="Q302">
        <f t="shared" si="26"/>
        <v>0</v>
      </c>
      <c r="R302">
        <f t="shared" si="27"/>
        <v>1</v>
      </c>
      <c r="S302">
        <f t="shared" si="28"/>
        <v>0</v>
      </c>
      <c r="T302">
        <f t="shared" si="29"/>
        <v>0</v>
      </c>
    </row>
    <row r="303" spans="1:20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  <c r="O303">
        <f t="shared" si="24"/>
        <v>1</v>
      </c>
      <c r="P303">
        <f t="shared" si="25"/>
        <v>0</v>
      </c>
      <c r="Q303">
        <f t="shared" si="26"/>
        <v>0</v>
      </c>
      <c r="R303">
        <f t="shared" si="27"/>
        <v>1</v>
      </c>
      <c r="S303">
        <f t="shared" si="28"/>
        <v>0</v>
      </c>
      <c r="T303">
        <f t="shared" si="29"/>
        <v>0</v>
      </c>
    </row>
    <row r="304" spans="1:20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  <c r="O304">
        <f t="shared" si="24"/>
        <v>1</v>
      </c>
      <c r="P304">
        <f t="shared" si="25"/>
        <v>0</v>
      </c>
      <c r="Q304">
        <f t="shared" si="26"/>
        <v>0</v>
      </c>
      <c r="R304">
        <f t="shared" si="27"/>
        <v>1</v>
      </c>
      <c r="S304">
        <f t="shared" si="28"/>
        <v>0</v>
      </c>
      <c r="T304">
        <f t="shared" si="29"/>
        <v>0</v>
      </c>
    </row>
    <row r="305" spans="1:20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  <c r="O305">
        <f t="shared" si="24"/>
        <v>1</v>
      </c>
      <c r="P305">
        <f t="shared" si="25"/>
        <v>0</v>
      </c>
      <c r="Q305">
        <f t="shared" si="26"/>
        <v>0</v>
      </c>
      <c r="R305">
        <f t="shared" si="27"/>
        <v>1</v>
      </c>
      <c r="S305">
        <f t="shared" si="28"/>
        <v>0</v>
      </c>
      <c r="T305">
        <f t="shared" si="29"/>
        <v>0</v>
      </c>
    </row>
    <row r="306" spans="1:20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  <c r="O306">
        <f t="shared" si="24"/>
        <v>0</v>
      </c>
      <c r="P306">
        <f t="shared" si="25"/>
        <v>1</v>
      </c>
      <c r="Q306">
        <f t="shared" si="26"/>
        <v>0</v>
      </c>
      <c r="R306">
        <f t="shared" si="27"/>
        <v>0</v>
      </c>
      <c r="S306">
        <f t="shared" si="28"/>
        <v>0</v>
      </c>
      <c r="T306">
        <f t="shared" si="29"/>
        <v>0</v>
      </c>
    </row>
    <row r="307" spans="1:20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  <c r="O307">
        <f t="shared" si="24"/>
        <v>0</v>
      </c>
      <c r="P307">
        <f t="shared" si="25"/>
        <v>1</v>
      </c>
      <c r="Q307">
        <f t="shared" si="26"/>
        <v>0</v>
      </c>
      <c r="R307">
        <f t="shared" si="27"/>
        <v>0</v>
      </c>
      <c r="S307">
        <f t="shared" si="28"/>
        <v>0</v>
      </c>
      <c r="T307">
        <f t="shared" si="29"/>
        <v>0</v>
      </c>
    </row>
    <row r="308" spans="1:20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  <c r="O308">
        <f t="shared" si="24"/>
        <v>0</v>
      </c>
      <c r="P308">
        <f t="shared" si="25"/>
        <v>1</v>
      </c>
      <c r="Q308">
        <f t="shared" si="26"/>
        <v>0</v>
      </c>
      <c r="R308">
        <f t="shared" si="27"/>
        <v>0</v>
      </c>
      <c r="S308">
        <f t="shared" si="28"/>
        <v>0</v>
      </c>
      <c r="T308">
        <f t="shared" si="29"/>
        <v>0</v>
      </c>
    </row>
    <row r="309" spans="1:20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  <c r="O309">
        <f t="shared" si="24"/>
        <v>0</v>
      </c>
      <c r="P309">
        <f t="shared" si="25"/>
        <v>1</v>
      </c>
      <c r="Q309">
        <f t="shared" si="26"/>
        <v>0</v>
      </c>
      <c r="R309">
        <f t="shared" si="27"/>
        <v>0</v>
      </c>
      <c r="S309">
        <f t="shared" si="28"/>
        <v>0</v>
      </c>
      <c r="T309">
        <f t="shared" si="29"/>
        <v>0</v>
      </c>
    </row>
    <row r="310" spans="1:20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  <c r="O310">
        <f t="shared" si="24"/>
        <v>0</v>
      </c>
      <c r="P310">
        <f t="shared" si="25"/>
        <v>1</v>
      </c>
      <c r="Q310">
        <f t="shared" si="26"/>
        <v>0</v>
      </c>
      <c r="R310">
        <f t="shared" si="27"/>
        <v>0</v>
      </c>
      <c r="S310">
        <f t="shared" si="28"/>
        <v>1</v>
      </c>
      <c r="T310">
        <f t="shared" si="29"/>
        <v>0</v>
      </c>
    </row>
    <row r="311" spans="1:20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  <c r="O311">
        <f t="shared" si="24"/>
        <v>0</v>
      </c>
      <c r="P311">
        <f t="shared" si="25"/>
        <v>1</v>
      </c>
      <c r="Q311">
        <f t="shared" si="26"/>
        <v>0</v>
      </c>
      <c r="R311">
        <f t="shared" si="27"/>
        <v>0</v>
      </c>
      <c r="S311">
        <f t="shared" si="28"/>
        <v>1</v>
      </c>
      <c r="T311">
        <f t="shared" si="29"/>
        <v>0</v>
      </c>
    </row>
    <row r="312" spans="1:20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  <c r="O312">
        <f t="shared" si="24"/>
        <v>0</v>
      </c>
      <c r="P312">
        <f t="shared" si="25"/>
        <v>1</v>
      </c>
      <c r="Q312">
        <f t="shared" si="26"/>
        <v>0</v>
      </c>
      <c r="R312">
        <f t="shared" si="27"/>
        <v>0</v>
      </c>
      <c r="S312">
        <f t="shared" si="28"/>
        <v>1</v>
      </c>
      <c r="T312">
        <f t="shared" si="29"/>
        <v>0</v>
      </c>
    </row>
    <row r="313" spans="1:20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 s="4">
        <v>3.9246794871794881</v>
      </c>
      <c r="M313">
        <v>771129.07</v>
      </c>
      <c r="N313">
        <v>116851.13</v>
      </c>
      <c r="O313">
        <f t="shared" si="24"/>
        <v>0</v>
      </c>
      <c r="P313">
        <f t="shared" si="25"/>
        <v>1</v>
      </c>
      <c r="Q313">
        <f t="shared" si="26"/>
        <v>0</v>
      </c>
      <c r="R313">
        <f t="shared" si="27"/>
        <v>0</v>
      </c>
      <c r="S313">
        <f t="shared" si="28"/>
        <v>1</v>
      </c>
      <c r="T313">
        <f t="shared" si="29"/>
        <v>0</v>
      </c>
    </row>
    <row r="314" spans="1:20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  <c r="O314">
        <f t="shared" si="24"/>
        <v>1</v>
      </c>
      <c r="P314">
        <f t="shared" si="25"/>
        <v>0</v>
      </c>
      <c r="Q314">
        <f t="shared" si="26"/>
        <v>0</v>
      </c>
      <c r="R314">
        <f t="shared" si="27"/>
        <v>0</v>
      </c>
      <c r="S314">
        <f t="shared" si="28"/>
        <v>0</v>
      </c>
      <c r="T314">
        <f t="shared" si="29"/>
        <v>0</v>
      </c>
    </row>
    <row r="315" spans="1:20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 s="4">
        <v>3.9246794871794881</v>
      </c>
      <c r="M315">
        <v>688368.46</v>
      </c>
      <c r="N315">
        <v>93588.42</v>
      </c>
      <c r="O315">
        <f t="shared" si="24"/>
        <v>1</v>
      </c>
      <c r="P315">
        <f t="shared" si="25"/>
        <v>0</v>
      </c>
      <c r="Q315">
        <f t="shared" si="26"/>
        <v>0</v>
      </c>
      <c r="R315">
        <f t="shared" si="27"/>
        <v>0</v>
      </c>
      <c r="S315">
        <f t="shared" si="28"/>
        <v>0</v>
      </c>
      <c r="T315">
        <f t="shared" si="29"/>
        <v>0</v>
      </c>
    </row>
    <row r="316" spans="1:20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  <c r="O316">
        <f t="shared" si="24"/>
        <v>1</v>
      </c>
      <c r="P316">
        <f t="shared" si="25"/>
        <v>0</v>
      </c>
      <c r="Q316">
        <f t="shared" si="26"/>
        <v>0</v>
      </c>
      <c r="R316">
        <f t="shared" si="27"/>
        <v>0</v>
      </c>
      <c r="S316">
        <f t="shared" si="28"/>
        <v>0</v>
      </c>
      <c r="T316">
        <f t="shared" si="29"/>
        <v>0</v>
      </c>
    </row>
    <row r="317" spans="1:20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  <c r="O317">
        <f t="shared" si="24"/>
        <v>1</v>
      </c>
      <c r="P317">
        <f t="shared" si="25"/>
        <v>0</v>
      </c>
      <c r="Q317">
        <f t="shared" si="26"/>
        <v>0</v>
      </c>
      <c r="R317">
        <f t="shared" si="27"/>
        <v>0</v>
      </c>
      <c r="S317">
        <f t="shared" si="28"/>
        <v>0</v>
      </c>
      <c r="T317">
        <f t="shared" si="29"/>
        <v>0</v>
      </c>
    </row>
    <row r="318" spans="1:20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  <c r="O318">
        <f t="shared" si="24"/>
        <v>0</v>
      </c>
      <c r="P318">
        <f t="shared" si="25"/>
        <v>0</v>
      </c>
      <c r="Q318">
        <f t="shared" si="26"/>
        <v>1</v>
      </c>
      <c r="R318">
        <f t="shared" si="27"/>
        <v>0</v>
      </c>
      <c r="S318">
        <f t="shared" si="28"/>
        <v>0</v>
      </c>
      <c r="T318">
        <f t="shared" si="29"/>
        <v>0</v>
      </c>
    </row>
    <row r="319" spans="1:20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  <c r="O319">
        <f t="shared" si="24"/>
        <v>0</v>
      </c>
      <c r="P319">
        <f t="shared" si="25"/>
        <v>0</v>
      </c>
      <c r="Q319">
        <f t="shared" si="26"/>
        <v>1</v>
      </c>
      <c r="R319">
        <f t="shared" si="27"/>
        <v>0</v>
      </c>
      <c r="S319">
        <f t="shared" si="28"/>
        <v>0</v>
      </c>
      <c r="T319">
        <f t="shared" si="29"/>
        <v>0</v>
      </c>
    </row>
    <row r="320" spans="1:20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  <c r="O320">
        <f t="shared" si="24"/>
        <v>0</v>
      </c>
      <c r="P320">
        <f t="shared" si="25"/>
        <v>0</v>
      </c>
      <c r="Q320">
        <f t="shared" si="26"/>
        <v>1</v>
      </c>
      <c r="R320">
        <f t="shared" si="27"/>
        <v>0</v>
      </c>
      <c r="S320">
        <f t="shared" si="28"/>
        <v>0</v>
      </c>
      <c r="T320">
        <f t="shared" si="29"/>
        <v>0</v>
      </c>
    </row>
    <row r="321" spans="1:20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  <c r="O321">
        <f t="shared" si="24"/>
        <v>0</v>
      </c>
      <c r="P321">
        <f t="shared" si="25"/>
        <v>0</v>
      </c>
      <c r="Q321">
        <f t="shared" si="26"/>
        <v>1</v>
      </c>
      <c r="R321">
        <f t="shared" si="27"/>
        <v>0</v>
      </c>
      <c r="S321">
        <f t="shared" si="28"/>
        <v>0</v>
      </c>
      <c r="T321">
        <f t="shared" si="29"/>
        <v>0</v>
      </c>
    </row>
  </sheetData>
  <autoFilter ref="D1:D321" xr:uid="{1AEF9FC6-63AC-463D-B0B5-1A774710B09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CDDB-B96A-4878-B4C5-14D0B92F84C5}">
  <dimension ref="A1:I24"/>
  <sheetViews>
    <sheetView workbookViewId="0">
      <selection activeCell="E26" sqref="E26"/>
    </sheetView>
  </sheetViews>
  <sheetFormatPr defaultRowHeight="13.8"/>
  <cols>
    <col min="1" max="1" width="19.296875" customWidth="1"/>
    <col min="2" max="2" width="20.3984375" customWidth="1"/>
    <col min="3" max="3" width="16" customWidth="1"/>
    <col min="4" max="4" width="13.8984375" customWidth="1"/>
    <col min="5" max="5" width="14.59765625" customWidth="1"/>
    <col min="6" max="6" width="17.8984375" customWidth="1"/>
    <col min="7" max="7" width="15.3984375" customWidth="1"/>
    <col min="8" max="8" width="14.59765625" customWidth="1"/>
    <col min="9" max="9" width="17.09765625" customWidth="1"/>
  </cols>
  <sheetData>
    <row r="1" spans="1:9">
      <c r="A1" s="22" t="s">
        <v>147</v>
      </c>
      <c r="B1" s="22"/>
      <c r="C1" s="22"/>
      <c r="D1" s="22"/>
      <c r="E1" s="22"/>
    </row>
    <row r="2" spans="1:9" ht="14.4" thickBot="1"/>
    <row r="3" spans="1:9" ht="14.4">
      <c r="A3" s="8" t="s">
        <v>124</v>
      </c>
      <c r="B3" s="8"/>
    </row>
    <row r="4" spans="1:9">
      <c r="A4" t="s">
        <v>125</v>
      </c>
      <c r="B4">
        <v>0.40895561021322352</v>
      </c>
    </row>
    <row r="5" spans="1:9">
      <c r="A5" t="s">
        <v>126</v>
      </c>
      <c r="B5">
        <v>0.16724469112487</v>
      </c>
    </row>
    <row r="6" spans="1:9">
      <c r="A6" t="s">
        <v>127</v>
      </c>
      <c r="B6">
        <v>0.16462596373847024</v>
      </c>
    </row>
    <row r="7" spans="1:9">
      <c r="A7" t="s">
        <v>128</v>
      </c>
      <c r="B7">
        <v>94846.03383215853</v>
      </c>
    </row>
    <row r="8" spans="1:9" ht="14.4" thickBot="1">
      <c r="A8" s="6" t="s">
        <v>129</v>
      </c>
      <c r="B8" s="6">
        <v>320</v>
      </c>
    </row>
    <row r="10" spans="1:9" ht="14.4" thickBot="1">
      <c r="A10" t="s">
        <v>130</v>
      </c>
    </row>
    <row r="11" spans="1:9" ht="14.4">
      <c r="A11" s="7"/>
      <c r="B11" s="7" t="s">
        <v>135</v>
      </c>
      <c r="C11" s="7" t="s">
        <v>136</v>
      </c>
      <c r="D11" s="7" t="s">
        <v>137</v>
      </c>
      <c r="E11" s="7" t="s">
        <v>138</v>
      </c>
      <c r="F11" s="7" t="s">
        <v>139</v>
      </c>
    </row>
    <row r="12" spans="1:9">
      <c r="A12" t="s">
        <v>131</v>
      </c>
      <c r="B12">
        <v>1</v>
      </c>
      <c r="C12">
        <v>574513714277.01416</v>
      </c>
      <c r="D12">
        <v>574513714277.01416</v>
      </c>
      <c r="E12">
        <v>63.864872683367629</v>
      </c>
      <c r="F12">
        <v>2.4800615101359619E-14</v>
      </c>
    </row>
    <row r="13" spans="1:9">
      <c r="A13" t="s">
        <v>132</v>
      </c>
      <c r="B13">
        <v>318</v>
      </c>
      <c r="C13">
        <v>2860654902513.7251</v>
      </c>
      <c r="D13">
        <v>8995770133.6909599</v>
      </c>
    </row>
    <row r="14" spans="1:9" ht="14.4" thickBot="1">
      <c r="A14" s="6" t="s">
        <v>133</v>
      </c>
      <c r="B14" s="6">
        <v>319</v>
      </c>
      <c r="C14" s="6">
        <v>3435168616790.7393</v>
      </c>
      <c r="D14" s="6"/>
      <c r="E14" s="6"/>
      <c r="F14" s="6"/>
    </row>
    <row r="15" spans="1:9" ht="14.4" thickBot="1"/>
    <row r="16" spans="1:9" ht="14.4">
      <c r="A16" s="7"/>
      <c r="B16" s="7" t="s">
        <v>140</v>
      </c>
      <c r="C16" s="7" t="s">
        <v>128</v>
      </c>
      <c r="D16" s="7" t="s">
        <v>141</v>
      </c>
      <c r="E16" s="7" t="s">
        <v>142</v>
      </c>
      <c r="F16" s="7" t="s">
        <v>143</v>
      </c>
      <c r="G16" s="7" t="s">
        <v>144</v>
      </c>
      <c r="H16" s="7" t="s">
        <v>145</v>
      </c>
      <c r="I16" s="7" t="s">
        <v>146</v>
      </c>
    </row>
    <row r="17" spans="1:9">
      <c r="A17" t="s">
        <v>134</v>
      </c>
      <c r="B17">
        <v>560777.34544943704</v>
      </c>
      <c r="C17">
        <v>15906.905953068674</v>
      </c>
      <c r="D17">
        <v>35.253703460870398</v>
      </c>
      <c r="E17">
        <v>6.952876876284135E-112</v>
      </c>
      <c r="F17">
        <v>529481.27234763221</v>
      </c>
      <c r="G17">
        <v>592073.41855124186</v>
      </c>
      <c r="H17">
        <v>529481.27234763221</v>
      </c>
      <c r="I17">
        <v>592073.41855124186</v>
      </c>
    </row>
    <row r="18" spans="1:9" ht="14.4" thickBot="1">
      <c r="A18" t="s">
        <v>148</v>
      </c>
      <c r="B18" s="6">
        <v>2.1295753275898281</v>
      </c>
      <c r="C18" s="6">
        <v>0.26647838106932348</v>
      </c>
      <c r="D18" s="6">
        <v>7.991550080138869</v>
      </c>
      <c r="E18" s="6">
        <v>2.4800615101360068E-14</v>
      </c>
      <c r="F18" s="6">
        <v>1.6052919176921738</v>
      </c>
      <c r="G18" s="6">
        <v>2.6538587374874822</v>
      </c>
      <c r="H18" s="6">
        <v>1.6052919176921738</v>
      </c>
      <c r="I18" s="6">
        <v>2.6538587374874822</v>
      </c>
    </row>
    <row r="21" spans="1:9" ht="41.4">
      <c r="A21" s="11" t="s">
        <v>150</v>
      </c>
      <c r="B21" s="10" t="s">
        <v>151</v>
      </c>
    </row>
    <row r="22" spans="1:9">
      <c r="A22" s="11" t="s">
        <v>152</v>
      </c>
      <c r="B22" s="9">
        <v>0.16724469112487</v>
      </c>
    </row>
    <row r="23" spans="1:9">
      <c r="A23" s="11" t="s">
        <v>153</v>
      </c>
      <c r="B23" s="9">
        <v>2.1295000000000002</v>
      </c>
    </row>
    <row r="24" spans="1:9">
      <c r="A24" s="11" t="s">
        <v>154</v>
      </c>
      <c r="B24" s="9">
        <v>2.4800615101360068E-14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83F3-3F17-4D09-B19E-51E66E6AD810}">
  <dimension ref="A1:I24"/>
  <sheetViews>
    <sheetView workbookViewId="0">
      <selection activeCell="B5" sqref="B5"/>
    </sheetView>
  </sheetViews>
  <sheetFormatPr defaultRowHeight="13.8"/>
  <cols>
    <col min="1" max="1" width="23" customWidth="1"/>
    <col min="2" max="2" width="21.296875" customWidth="1"/>
    <col min="3" max="3" width="17.59765625" customWidth="1"/>
    <col min="4" max="4" width="12" customWidth="1"/>
    <col min="5" max="5" width="17.8984375" customWidth="1"/>
    <col min="6" max="6" width="11.296875" customWidth="1"/>
    <col min="7" max="7" width="15.09765625" customWidth="1"/>
    <col min="8" max="8" width="14.296875" customWidth="1"/>
    <col min="9" max="9" width="16.296875" customWidth="1"/>
  </cols>
  <sheetData>
    <row r="1" spans="1:9">
      <c r="A1" s="22" t="s">
        <v>149</v>
      </c>
      <c r="B1" s="22"/>
      <c r="C1" s="22"/>
      <c r="D1" s="22"/>
      <c r="E1" s="22"/>
      <c r="F1" s="22"/>
      <c r="G1" s="22"/>
      <c r="H1" s="22"/>
      <c r="I1" s="22"/>
    </row>
    <row r="2" spans="1:9" ht="14.4" thickBot="1"/>
    <row r="3" spans="1:9" ht="14.4">
      <c r="A3" s="8" t="s">
        <v>124</v>
      </c>
      <c r="B3" s="8"/>
    </row>
    <row r="4" spans="1:9">
      <c r="A4" t="s">
        <v>125</v>
      </c>
      <c r="B4">
        <v>0.85807070804410468</v>
      </c>
    </row>
    <row r="5" spans="1:9">
      <c r="A5" t="s">
        <v>126</v>
      </c>
      <c r="B5">
        <v>0.73628534000331103</v>
      </c>
    </row>
    <row r="6" spans="1:9">
      <c r="A6" t="s">
        <v>127</v>
      </c>
      <c r="B6">
        <v>0.73545604861967373</v>
      </c>
    </row>
    <row r="7" spans="1:9">
      <c r="A7" t="s">
        <v>128</v>
      </c>
      <c r="B7">
        <v>53373.736380790499</v>
      </c>
    </row>
    <row r="8" spans="1:9" ht="14.4" thickBot="1">
      <c r="A8" s="6" t="s">
        <v>129</v>
      </c>
      <c r="B8" s="6">
        <v>320</v>
      </c>
    </row>
    <row r="10" spans="1:9" ht="14.4" thickBot="1">
      <c r="A10" t="s">
        <v>130</v>
      </c>
    </row>
    <row r="11" spans="1:9" ht="14.4">
      <c r="A11" s="7"/>
      <c r="B11" s="7" t="s">
        <v>135</v>
      </c>
      <c r="C11" s="7" t="s">
        <v>136</v>
      </c>
      <c r="D11" s="7" t="s">
        <v>137</v>
      </c>
      <c r="E11" s="7" t="s">
        <v>138</v>
      </c>
      <c r="F11" s="7" t="s">
        <v>139</v>
      </c>
    </row>
    <row r="12" spans="1:9">
      <c r="A12" t="s">
        <v>131</v>
      </c>
      <c r="B12">
        <v>1</v>
      </c>
      <c r="C12">
        <v>2529264292982.4736</v>
      </c>
      <c r="D12">
        <v>2529264292982.4736</v>
      </c>
      <c r="E12">
        <v>887.84877611276033</v>
      </c>
      <c r="F12">
        <v>4.7503615090053331E-94</v>
      </c>
    </row>
    <row r="13" spans="1:9">
      <c r="A13" t="s">
        <v>132</v>
      </c>
      <c r="B13">
        <v>318</v>
      </c>
      <c r="C13">
        <v>905904323808.26587</v>
      </c>
      <c r="D13">
        <v>2848755735.246119</v>
      </c>
    </row>
    <row r="14" spans="1:9" ht="14.4" thickBot="1">
      <c r="A14" s="6" t="s">
        <v>133</v>
      </c>
      <c r="B14" s="6">
        <v>319</v>
      </c>
      <c r="C14" s="6">
        <v>3435168616790.7393</v>
      </c>
      <c r="D14" s="6"/>
      <c r="E14" s="6"/>
      <c r="F14" s="6"/>
    </row>
    <row r="15" spans="1:9" ht="14.4" thickBot="1"/>
    <row r="16" spans="1:9" ht="14.4">
      <c r="A16" s="7"/>
      <c r="B16" s="7" t="s">
        <v>140</v>
      </c>
      <c r="C16" s="7" t="s">
        <v>128</v>
      </c>
      <c r="D16" s="7" t="s">
        <v>141</v>
      </c>
      <c r="E16" s="7" t="s">
        <v>142</v>
      </c>
      <c r="F16" s="7" t="s">
        <v>143</v>
      </c>
      <c r="G16" s="7" t="s">
        <v>144</v>
      </c>
      <c r="H16" s="7" t="s">
        <v>145</v>
      </c>
      <c r="I16" s="7" t="s">
        <v>146</v>
      </c>
    </row>
    <row r="17" spans="1:9">
      <c r="A17" t="s">
        <v>134</v>
      </c>
      <c r="B17">
        <v>446410.58293395344</v>
      </c>
      <c r="C17">
        <v>8407.7382630059928</v>
      </c>
      <c r="D17">
        <v>53.095204556754318</v>
      </c>
      <c r="E17">
        <v>4.0862695711507226E-160</v>
      </c>
      <c r="F17">
        <v>429868.76191129786</v>
      </c>
      <c r="G17">
        <v>462952.40395660902</v>
      </c>
      <c r="H17">
        <v>429868.76191129786</v>
      </c>
      <c r="I17">
        <v>462952.40395660902</v>
      </c>
    </row>
    <row r="18" spans="1:9" ht="14.4" thickBot="1">
      <c r="A18" t="s">
        <v>5</v>
      </c>
      <c r="B18" s="6">
        <v>35.678031072640458</v>
      </c>
      <c r="C18" s="6">
        <v>1.1973782890340821</v>
      </c>
      <c r="D18" s="6">
        <v>29.796791372776362</v>
      </c>
      <c r="E18" s="6">
        <v>4.7503615090054677E-94</v>
      </c>
      <c r="F18" s="6">
        <v>33.322246825554025</v>
      </c>
      <c r="G18" s="6">
        <v>38.033815319726891</v>
      </c>
      <c r="H18" s="6">
        <v>33.322246825554025</v>
      </c>
      <c r="I18" s="6">
        <v>38.033815319726891</v>
      </c>
    </row>
    <row r="21" spans="1:9" ht="41.4">
      <c r="A21" s="11" t="s">
        <v>150</v>
      </c>
      <c r="B21" s="10" t="s">
        <v>155</v>
      </c>
    </row>
    <row r="22" spans="1:9">
      <c r="A22" s="11" t="s">
        <v>152</v>
      </c>
      <c r="B22" s="9">
        <v>0.73628534000331103</v>
      </c>
    </row>
    <row r="23" spans="1:9">
      <c r="A23" s="11" t="s">
        <v>153</v>
      </c>
      <c r="B23" s="9">
        <v>35.677999999999997</v>
      </c>
    </row>
    <row r="24" spans="1:9">
      <c r="A24" s="11" t="s">
        <v>154</v>
      </c>
      <c r="B24">
        <v>4.0862695711507226E-160</v>
      </c>
    </row>
  </sheetData>
  <mergeCells count="1"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2CCE-E33A-4817-B968-3BB0BF17F681}">
  <dimension ref="A1:I27"/>
  <sheetViews>
    <sheetView workbookViewId="0">
      <selection activeCell="C19" sqref="C19"/>
    </sheetView>
  </sheetViews>
  <sheetFormatPr defaultRowHeight="13.8"/>
  <cols>
    <col min="1" max="1" width="16.796875" customWidth="1"/>
    <col min="2" max="2" width="16.3984375" customWidth="1"/>
    <col min="3" max="3" width="18.59765625" customWidth="1"/>
    <col min="4" max="4" width="14.3984375" customWidth="1"/>
    <col min="5" max="5" width="14.8984375" customWidth="1"/>
    <col min="6" max="6" width="13.5" customWidth="1"/>
    <col min="7" max="7" width="15" customWidth="1"/>
    <col min="8" max="8" width="14.3984375" customWidth="1"/>
    <col min="9" max="9" width="15.09765625" customWidth="1"/>
  </cols>
  <sheetData>
    <row r="1" spans="1:9">
      <c r="A1" s="22" t="s">
        <v>156</v>
      </c>
      <c r="B1" s="22"/>
      <c r="C1" s="22"/>
      <c r="D1" s="22"/>
      <c r="E1" s="22"/>
      <c r="F1" s="22"/>
      <c r="G1" s="22"/>
      <c r="H1" s="22"/>
      <c r="I1" s="22"/>
    </row>
    <row r="2" spans="1:9" ht="14.4" thickBot="1"/>
    <row r="3" spans="1:9" ht="14.4">
      <c r="A3" s="8" t="s">
        <v>124</v>
      </c>
      <c r="B3" s="8"/>
    </row>
    <row r="4" spans="1:9">
      <c r="A4" t="s">
        <v>125</v>
      </c>
      <c r="B4">
        <v>0.91167206981181748</v>
      </c>
    </row>
    <row r="5" spans="1:9">
      <c r="A5" t="s">
        <v>126</v>
      </c>
      <c r="B5">
        <v>0.83114596287496345</v>
      </c>
    </row>
    <row r="6" spans="1:9">
      <c r="A6" t="s">
        <v>127</v>
      </c>
      <c r="B6">
        <v>0.82568143092916935</v>
      </c>
    </row>
    <row r="7" spans="1:9">
      <c r="A7" t="s">
        <v>128</v>
      </c>
      <c r="B7">
        <v>43326.191438484624</v>
      </c>
    </row>
    <row r="8" spans="1:9" ht="14.4" thickBot="1">
      <c r="A8" s="6" t="s">
        <v>129</v>
      </c>
      <c r="B8" s="6">
        <v>320</v>
      </c>
    </row>
    <row r="10" spans="1:9" ht="14.4" thickBot="1">
      <c r="A10" t="s">
        <v>130</v>
      </c>
    </row>
    <row r="11" spans="1:9" ht="14.4">
      <c r="A11" s="7"/>
      <c r="B11" s="7" t="s">
        <v>135</v>
      </c>
      <c r="C11" s="7" t="s">
        <v>136</v>
      </c>
      <c r="D11" s="7" t="s">
        <v>137</v>
      </c>
      <c r="E11" s="7" t="s">
        <v>138</v>
      </c>
      <c r="F11" s="7" t="s">
        <v>139</v>
      </c>
    </row>
    <row r="12" spans="1:9">
      <c r="A12" t="s">
        <v>131</v>
      </c>
      <c r="B12">
        <v>10</v>
      </c>
      <c r="C12">
        <v>2855126527640.3955</v>
      </c>
      <c r="D12">
        <v>285512652764.03955</v>
      </c>
      <c r="E12">
        <v>152.0982896832875</v>
      </c>
      <c r="F12">
        <v>5.4305501527879502E-113</v>
      </c>
    </row>
    <row r="13" spans="1:9">
      <c r="A13" t="s">
        <v>132</v>
      </c>
      <c r="B13">
        <v>309</v>
      </c>
      <c r="C13">
        <v>580042089150.34351</v>
      </c>
      <c r="D13">
        <v>1877158864.5642185</v>
      </c>
    </row>
    <row r="14" spans="1:9" ht="14.4" thickBot="1">
      <c r="A14" s="6" t="s">
        <v>133</v>
      </c>
      <c r="B14" s="6">
        <v>319</v>
      </c>
      <c r="C14" s="6">
        <v>3435168616790.7393</v>
      </c>
      <c r="D14" s="6"/>
      <c r="E14" s="6"/>
      <c r="F14" s="6"/>
    </row>
    <row r="15" spans="1:9" ht="14.4" thickBot="1"/>
    <row r="16" spans="1:9" ht="14.4">
      <c r="A16" s="7"/>
      <c r="B16" s="7" t="s">
        <v>140</v>
      </c>
      <c r="C16" s="7" t="s">
        <v>128</v>
      </c>
      <c r="D16" s="7" t="s">
        <v>141</v>
      </c>
      <c r="E16" s="7" t="s">
        <v>142</v>
      </c>
      <c r="F16" s="7" t="s">
        <v>143</v>
      </c>
      <c r="G16" s="7" t="s">
        <v>144</v>
      </c>
      <c r="H16" s="7" t="s">
        <v>145</v>
      </c>
      <c r="I16" s="7" t="s">
        <v>146</v>
      </c>
    </row>
    <row r="17" spans="1:9">
      <c r="A17" t="s">
        <v>134</v>
      </c>
      <c r="B17">
        <v>58353.133967059519</v>
      </c>
      <c r="C17">
        <v>47797.813280551818</v>
      </c>
      <c r="D17">
        <v>1.2208327109977328</v>
      </c>
      <c r="E17">
        <v>0.22308011162082678</v>
      </c>
      <c r="F17">
        <v>-35697.231608765345</v>
      </c>
      <c r="G17">
        <v>152403.49954288438</v>
      </c>
      <c r="H17">
        <v>-35697.231608765345</v>
      </c>
      <c r="I17">
        <v>152403.49954288438</v>
      </c>
    </row>
    <row r="18" spans="1:9">
      <c r="A18" t="s">
        <v>4</v>
      </c>
      <c r="B18">
        <v>1.2090154143165297</v>
      </c>
      <c r="C18">
        <v>0.1256563138524083</v>
      </c>
      <c r="D18">
        <v>9.6216049735200624</v>
      </c>
      <c r="E18">
        <v>2.4394397418725496E-19</v>
      </c>
      <c r="F18">
        <v>0.96176514398798818</v>
      </c>
      <c r="G18">
        <v>1.4562656846450712</v>
      </c>
      <c r="H18">
        <v>0.96176514398798818</v>
      </c>
      <c r="I18">
        <v>1.4562656846450712</v>
      </c>
    </row>
    <row r="19" spans="1:9">
      <c r="A19" t="s">
        <v>5</v>
      </c>
      <c r="B19">
        <v>34.01462932108646</v>
      </c>
      <c r="C19">
        <v>1.0148420692627516</v>
      </c>
      <c r="D19">
        <v>33.517165233204153</v>
      </c>
      <c r="E19">
        <v>6.2462997687124417E-105</v>
      </c>
      <c r="F19">
        <v>32.017754128163695</v>
      </c>
      <c r="G19">
        <v>36.011504514009225</v>
      </c>
      <c r="H19">
        <v>32.017754128163695</v>
      </c>
      <c r="I19">
        <v>36.011504514009225</v>
      </c>
    </row>
    <row r="20" spans="1:9">
      <c r="A20" t="s">
        <v>8</v>
      </c>
      <c r="B20">
        <v>3047.9289739008382</v>
      </c>
      <c r="C20">
        <v>457.14405364768959</v>
      </c>
      <c r="D20">
        <v>6.6673271796504805</v>
      </c>
      <c r="E20">
        <v>1.199218008930073E-10</v>
      </c>
      <c r="F20">
        <v>2148.4199291246514</v>
      </c>
      <c r="G20">
        <v>3947.438018677025</v>
      </c>
      <c r="H20">
        <v>2148.4199291246514</v>
      </c>
      <c r="I20">
        <v>3947.438018677025</v>
      </c>
    </row>
    <row r="21" spans="1:9">
      <c r="A21" t="s">
        <v>11</v>
      </c>
      <c r="B21">
        <v>13439.362802328025</v>
      </c>
      <c r="C21">
        <v>4780.1535153813193</v>
      </c>
      <c r="D21">
        <v>2.8114918818158392</v>
      </c>
      <c r="E21">
        <v>5.2464021766540324E-3</v>
      </c>
      <c r="F21">
        <v>4033.5939025799998</v>
      </c>
      <c r="G21">
        <v>22845.131702076051</v>
      </c>
      <c r="H21">
        <v>4033.5939025799998</v>
      </c>
      <c r="I21">
        <v>22845.131702076051</v>
      </c>
    </row>
    <row r="22" spans="1:9">
      <c r="A22" t="s">
        <v>118</v>
      </c>
      <c r="B22">
        <v>-12401.602648874728</v>
      </c>
      <c r="C22">
        <v>7164.670430793557</v>
      </c>
      <c r="D22">
        <v>-1.7309383269847249</v>
      </c>
      <c r="E22">
        <v>8.4461004451555924E-2</v>
      </c>
      <c r="F22">
        <v>-26499.316058718345</v>
      </c>
      <c r="G22">
        <v>1696.1107609688879</v>
      </c>
      <c r="H22">
        <v>-26499.316058718345</v>
      </c>
      <c r="I22">
        <v>1696.1107609688879</v>
      </c>
    </row>
    <row r="23" spans="1:9">
      <c r="A23" t="s">
        <v>119</v>
      </c>
      <c r="B23">
        <v>1618.4127054713713</v>
      </c>
      <c r="C23">
        <v>7245.0586253593319</v>
      </c>
      <c r="D23">
        <v>0.22338158863291505</v>
      </c>
      <c r="E23">
        <v>0.82338613648793479</v>
      </c>
      <c r="F23">
        <v>-12637.478214345654</v>
      </c>
      <c r="G23">
        <v>15874.303625288398</v>
      </c>
      <c r="H23">
        <v>-12637.478214345654</v>
      </c>
      <c r="I23">
        <v>15874.303625288398</v>
      </c>
    </row>
    <row r="24" spans="1:9">
      <c r="A24" t="s">
        <v>120</v>
      </c>
      <c r="B24">
        <v>-18491.874480492028</v>
      </c>
      <c r="C24">
        <v>6252.9797310296035</v>
      </c>
      <c r="D24">
        <v>-2.9572900082705358</v>
      </c>
      <c r="E24">
        <v>3.3428965082021728E-3</v>
      </c>
      <c r="F24">
        <v>-30795.680643960259</v>
      </c>
      <c r="G24">
        <v>-6188.0683170237953</v>
      </c>
      <c r="H24">
        <v>-30795.680643960259</v>
      </c>
      <c r="I24">
        <v>-6188.0683170237953</v>
      </c>
    </row>
    <row r="25" spans="1:9">
      <c r="A25" t="s">
        <v>121</v>
      </c>
      <c r="B25">
        <v>29382.284613151827</v>
      </c>
      <c r="C25">
        <v>6619.7758478094293</v>
      </c>
      <c r="D25">
        <v>4.4385618620115075</v>
      </c>
      <c r="E25">
        <v>1.2617133738530917E-5</v>
      </c>
      <c r="F25">
        <v>16356.744409834286</v>
      </c>
      <c r="G25">
        <v>42407.824816469365</v>
      </c>
      <c r="H25">
        <v>16356.744409834286</v>
      </c>
      <c r="I25">
        <v>42407.824816469365</v>
      </c>
    </row>
    <row r="26" spans="1:9">
      <c r="A26" t="s">
        <v>122</v>
      </c>
      <c r="B26">
        <v>18098.250516927979</v>
      </c>
      <c r="C26">
        <v>5991.0717524477432</v>
      </c>
      <c r="D26">
        <v>3.0208702657473037</v>
      </c>
      <c r="E26">
        <v>2.7310097641896043E-3</v>
      </c>
      <c r="F26">
        <v>6309.7930575577193</v>
      </c>
      <c r="G26">
        <v>29886.707976298239</v>
      </c>
      <c r="H26">
        <v>6309.7930575577193</v>
      </c>
      <c r="I26">
        <v>29886.707976298239</v>
      </c>
    </row>
    <row r="27" spans="1:9" ht="14.4" thickBot="1">
      <c r="A27" s="6" t="s">
        <v>123</v>
      </c>
      <c r="B27" s="6">
        <v>42659.145299248521</v>
      </c>
      <c r="C27" s="6">
        <v>9411.4650343318917</v>
      </c>
      <c r="D27" s="6">
        <v>4.5326785089922872</v>
      </c>
      <c r="E27" s="6">
        <v>8.3368753768437738E-6</v>
      </c>
      <c r="F27" s="6">
        <v>24140.479562647513</v>
      </c>
      <c r="G27" s="6">
        <v>61177.811035849532</v>
      </c>
      <c r="H27" s="6">
        <v>24140.479562647513</v>
      </c>
      <c r="I27" s="6">
        <v>61177.811035849532</v>
      </c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82474-2665-494C-8F69-836CA08A7619}">
  <dimension ref="A1:N321"/>
  <sheetViews>
    <sheetView zoomScale="115" zoomScaleNormal="115" workbookViewId="0">
      <selection activeCell="E8" sqref="E8"/>
    </sheetView>
  </sheetViews>
  <sheetFormatPr defaultRowHeight="13.8"/>
  <cols>
    <col min="1" max="4" width="16.09765625" customWidth="1"/>
    <col min="5" max="5" width="21" customWidth="1"/>
    <col min="6" max="6" width="17.796875" customWidth="1"/>
    <col min="7" max="7" width="14.59765625" customWidth="1"/>
    <col min="8" max="8" width="13.19921875" customWidth="1"/>
    <col min="9" max="9" width="12.5" customWidth="1"/>
    <col min="10" max="10" width="15.59765625" customWidth="1"/>
    <col min="11" max="11" width="12.5" customWidth="1"/>
    <col min="12" max="12" width="14.19921875" customWidth="1"/>
    <col min="13" max="13" width="15" customWidth="1"/>
    <col min="14" max="14" width="14.8984375" customWidth="1"/>
    <col min="20" max="20" width="15.69921875" customWidth="1"/>
    <col min="21" max="21" width="16.69921875" customWidth="1"/>
    <col min="22" max="22" width="16" customWidth="1"/>
  </cols>
  <sheetData>
    <row r="1" spans="1:14" ht="27.6">
      <c r="A1" s="1" t="s">
        <v>0</v>
      </c>
      <c r="B1" s="1" t="s">
        <v>12</v>
      </c>
      <c r="C1" s="1" t="s">
        <v>4</v>
      </c>
      <c r="D1" s="1" t="s">
        <v>5</v>
      </c>
      <c r="E1" s="1" t="s">
        <v>8</v>
      </c>
      <c r="F1" s="1" t="s">
        <v>11</v>
      </c>
      <c r="G1" s="1" t="s">
        <v>118</v>
      </c>
      <c r="H1" s="1" t="s">
        <v>119</v>
      </c>
      <c r="I1" s="1" t="s">
        <v>120</v>
      </c>
      <c r="J1" s="1" t="s">
        <v>121</v>
      </c>
      <c r="K1" s="1" t="s">
        <v>122</v>
      </c>
      <c r="L1" s="1" t="s">
        <v>123</v>
      </c>
      <c r="M1" s="1" t="s">
        <v>178</v>
      </c>
      <c r="N1" s="1" t="s">
        <v>132</v>
      </c>
    </row>
    <row r="2" spans="1:14">
      <c r="A2" t="s">
        <v>14</v>
      </c>
      <c r="B2">
        <v>658832.62</v>
      </c>
      <c r="C2">
        <v>70389.11</v>
      </c>
      <c r="D2">
        <v>8302</v>
      </c>
      <c r="E2">
        <v>75</v>
      </c>
      <c r="F2">
        <v>3.1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 s="3">
        <f xml:space="preserve">
58353.13397
+ 1.209015414*(C2)
+ 34.01462932*(D2)
+ 3047.928974*(E2)
+ 13439.3628*(F2)
- 12401.60265*(G2)
+ 1618.412705*(H2)
- 18491.87448*(I2)
+ 29382.28461*(J2)
+ 18098.25052*(K2)
+ 42659.1453*(L2)</f>
        <v>677608.9288023815</v>
      </c>
      <c r="N2">
        <f>B2-M2</f>
        <v>-18776.308802381507</v>
      </c>
    </row>
    <row r="3" spans="1:14">
      <c r="A3" t="s">
        <v>14</v>
      </c>
      <c r="B3">
        <v>634436</v>
      </c>
      <c r="C3">
        <v>43827.89</v>
      </c>
      <c r="D3">
        <v>8487</v>
      </c>
      <c r="E3">
        <v>84.4</v>
      </c>
      <c r="F3">
        <v>2.8</v>
      </c>
      <c r="G3">
        <v>0</v>
      </c>
      <c r="H3">
        <v>0</v>
      </c>
      <c r="I3">
        <v>1</v>
      </c>
      <c r="J3">
        <v>0</v>
      </c>
      <c r="K3">
        <v>0</v>
      </c>
      <c r="L3">
        <v>0</v>
      </c>
      <c r="M3" s="3">
        <f xml:space="preserve">
58353.13397
+ 1.209015414*(C3)
+ 34.01462932*(D3)
+ 3047.928974*(E3)
+ 13439.3628*(F3)
- 12401.60265*(G3)
+ 1618.412705*(H3)
- 18491.87448*(I3)
+ 29382.28461*(J3)
+ 18098.25052*(K3)
+ 42659.1453*(L3)</f>
        <v>676407.43434753641</v>
      </c>
      <c r="N3">
        <f>B3-M3</f>
        <v>-41971.434347536415</v>
      </c>
    </row>
    <row r="4" spans="1:14">
      <c r="A4" t="s">
        <v>14</v>
      </c>
      <c r="B4">
        <v>678722.06</v>
      </c>
      <c r="C4">
        <v>59921.75</v>
      </c>
      <c r="D4">
        <v>9113</v>
      </c>
      <c r="E4">
        <v>88</v>
      </c>
      <c r="F4">
        <v>3.2</v>
      </c>
      <c r="G4">
        <v>0</v>
      </c>
      <c r="H4">
        <v>0</v>
      </c>
      <c r="I4">
        <v>1</v>
      </c>
      <c r="J4">
        <v>0</v>
      </c>
      <c r="K4">
        <v>0</v>
      </c>
      <c r="L4">
        <v>0</v>
      </c>
      <c r="M4" s="3">
        <f xml:space="preserve">
58353.13397
+ 1.209015414*(C4)
+ 34.01462932*(D4)
+ 3047.928974*(E4)
+ 13439.3628*(F4)
- 12401.60265*(G4)
+ 1618.412705*(H4)
- 18491.87448*(I4)
+ 29382.28461*(J4)
+ 18098.25052*(K4)
+ 42659.1453*(L4)</f>
        <v>733506.60653901461</v>
      </c>
      <c r="N4">
        <f>B4-M4</f>
        <v>-54784.546539014555</v>
      </c>
    </row>
    <row r="5" spans="1:14">
      <c r="A5" t="s">
        <v>14</v>
      </c>
      <c r="B5">
        <v>658920.30000000005</v>
      </c>
      <c r="C5">
        <v>56856.63</v>
      </c>
      <c r="D5">
        <v>9431</v>
      </c>
      <c r="E5">
        <v>86.9</v>
      </c>
      <c r="F5">
        <v>3.4</v>
      </c>
      <c r="G5">
        <v>0</v>
      </c>
      <c r="H5">
        <v>0</v>
      </c>
      <c r="I5">
        <v>1</v>
      </c>
      <c r="J5">
        <v>0</v>
      </c>
      <c r="K5">
        <v>0</v>
      </c>
      <c r="L5">
        <v>0</v>
      </c>
      <c r="M5" s="3">
        <f xml:space="preserve">
58353.13397
+ 1.209015414*(C5)
+ 34.01462932*(D5)
+ 3047.928974*(E5)
+ 13439.3628*(F5)
- 12401.60265*(G5)
+ 1618.412705*(H5)
- 18491.87448*(I5)
+ 29382.28461*(J5)
+ 18098.25052*(K5)
+ 42659.1453*(L5)</f>
        <v>739952.63202561473</v>
      </c>
      <c r="N5">
        <f>B5-M5</f>
        <v>-81032.332025614684</v>
      </c>
    </row>
    <row r="6" spans="1:14">
      <c r="A6" t="s">
        <v>17</v>
      </c>
      <c r="B6">
        <v>850164.26</v>
      </c>
      <c r="C6">
        <v>68148.52</v>
      </c>
      <c r="D6">
        <v>8567</v>
      </c>
      <c r="E6">
        <v>95.6</v>
      </c>
      <c r="F6">
        <v>3.9</v>
      </c>
      <c r="G6">
        <v>0</v>
      </c>
      <c r="H6">
        <v>0</v>
      </c>
      <c r="I6">
        <v>1</v>
      </c>
      <c r="J6">
        <v>0</v>
      </c>
      <c r="K6">
        <v>1</v>
      </c>
      <c r="L6">
        <v>0</v>
      </c>
      <c r="M6" s="3">
        <f xml:space="preserve">
58353.13397
+ 1.209015414*(C6)
+ 34.01462932*(D6)
+ 3047.928974*(E6)
+ 13439.3628*(F6)
- 12401.60265*(G6)
+ 1618.412705*(H6)
- 18491.87448*(I6)
+ 29382.28461*(J6)
+ 18098.25052*(K6)
+ 42659.1453*(L6)</f>
        <v>775550.97535012732</v>
      </c>
      <c r="N6">
        <f>B6-M6</f>
        <v>74613.284649872687</v>
      </c>
    </row>
    <row r="7" spans="1:14">
      <c r="A7" t="s">
        <v>17</v>
      </c>
      <c r="B7">
        <v>806615.54</v>
      </c>
      <c r="C7">
        <v>46213.45</v>
      </c>
      <c r="D7">
        <v>10616</v>
      </c>
      <c r="E7">
        <v>85.2</v>
      </c>
      <c r="F7">
        <v>4.0999999999999996</v>
      </c>
      <c r="G7">
        <v>0</v>
      </c>
      <c r="H7">
        <v>0</v>
      </c>
      <c r="I7">
        <v>1</v>
      </c>
      <c r="J7">
        <v>0</v>
      </c>
      <c r="K7">
        <v>1</v>
      </c>
      <c r="L7">
        <v>0</v>
      </c>
      <c r="M7" s="3">
        <f xml:space="preserve">
58353.13397
+ 1.209015414*(C7)
+ 34.01462932*(D7)
+ 3047.928974*(E7)
+ 13439.3628*(F7)
- 12401.60265*(G7)
+ 1618.412705*(H7)
- 18491.87448*(I7)
+ 29382.28461*(J7)
+ 18098.25052*(K7)
+ 42659.1453*(L7)</f>
        <v>789716.52432003827</v>
      </c>
      <c r="N7">
        <f>B7-M7</f>
        <v>16899.015679961769</v>
      </c>
    </row>
    <row r="8" spans="1:14">
      <c r="A8" t="s">
        <v>17</v>
      </c>
      <c r="B8">
        <v>761835.34</v>
      </c>
      <c r="C8">
        <v>64811.21</v>
      </c>
      <c r="D8">
        <v>9792</v>
      </c>
      <c r="E8">
        <v>84.2</v>
      </c>
      <c r="F8">
        <v>4.2</v>
      </c>
      <c r="G8">
        <v>0</v>
      </c>
      <c r="H8">
        <v>0</v>
      </c>
      <c r="I8">
        <v>1</v>
      </c>
      <c r="J8">
        <v>0</v>
      </c>
      <c r="K8">
        <v>1</v>
      </c>
      <c r="L8">
        <v>0</v>
      </c>
      <c r="M8" s="3">
        <f xml:space="preserve">
58353.13397
+ 1.209015414*(C8)
+ 34.01462932*(D8)
+ 3047.928974*(E8)
+ 13439.3628*(F8)
- 12401.60265*(G8)
+ 1618.412705*(H8)
- 18491.87448*(I8)
+ 29382.28461*(J8)
+ 18098.25052*(K8)
+ 42659.1453*(L8)</f>
        <v>782469.45557223097</v>
      </c>
      <c r="N8">
        <f>B8-M8</f>
        <v>-20634.115572231007</v>
      </c>
    </row>
    <row r="9" spans="1:14">
      <c r="A9" t="s">
        <v>17</v>
      </c>
      <c r="B9">
        <v>741341.44</v>
      </c>
      <c r="C9">
        <v>48412.639999999999</v>
      </c>
      <c r="D9">
        <v>9545</v>
      </c>
      <c r="E9">
        <v>97.6</v>
      </c>
      <c r="F9">
        <v>4.2</v>
      </c>
      <c r="G9">
        <v>0</v>
      </c>
      <c r="H9">
        <v>0</v>
      </c>
      <c r="I9">
        <v>1</v>
      </c>
      <c r="J9">
        <v>0</v>
      </c>
      <c r="K9">
        <v>1</v>
      </c>
      <c r="L9">
        <v>0</v>
      </c>
      <c r="M9" s="3">
        <f xml:space="preserve">
58353.13397
+ 1.209015414*(C9)
+ 34.01462932*(D9)
+ 3047.928974*(E9)
+ 13439.3628*(F9)
- 12401.60265*(G9)
+ 1618.412705*(H9)
- 18491.87448*(I9)
+ 29382.28461*(J9)
+ 18098.25052*(K9)
+ 42659.1453*(L9)</f>
        <v>795083.96648423304</v>
      </c>
      <c r="N9">
        <f>B9-M9</f>
        <v>-53742.526484233094</v>
      </c>
    </row>
    <row r="10" spans="1:14">
      <c r="A10" t="s">
        <v>19</v>
      </c>
      <c r="B10">
        <v>930581.7</v>
      </c>
      <c r="C10">
        <v>71838.86</v>
      </c>
      <c r="D10">
        <v>10979</v>
      </c>
      <c r="E10">
        <v>88.6</v>
      </c>
      <c r="F10">
        <v>3.8</v>
      </c>
      <c r="G10">
        <v>1</v>
      </c>
      <c r="H10">
        <v>0</v>
      </c>
      <c r="I10">
        <v>0</v>
      </c>
      <c r="J10">
        <v>0</v>
      </c>
      <c r="K10">
        <v>0</v>
      </c>
      <c r="L10">
        <v>1</v>
      </c>
      <c r="M10" s="3">
        <f xml:space="preserve">
58353.13397
+ 1.209015414*(C10)
+ 34.01462932*(D10)
+ 3047.928974*(E10)
+ 13439.3628*(F10)
- 12401.60265*(G10)
+ 1618.412705*(H10)
- 18491.87448*(I10)
+ 29382.28461*(J10)
+ 18098.25052*(K10)
+ 42659.1453*(L10)</f>
        <v>870027.66672486789</v>
      </c>
      <c r="N10">
        <f>B10-M10</f>
        <v>60554.033275132068</v>
      </c>
    </row>
    <row r="11" spans="1:14">
      <c r="A11" t="s">
        <v>19</v>
      </c>
      <c r="B11">
        <v>910791.94</v>
      </c>
      <c r="C11">
        <v>67979.88</v>
      </c>
      <c r="D11">
        <v>11230</v>
      </c>
      <c r="E11">
        <v>85.3</v>
      </c>
      <c r="F11">
        <v>3.8</v>
      </c>
      <c r="G11">
        <v>1</v>
      </c>
      <c r="H11">
        <v>0</v>
      </c>
      <c r="I11">
        <v>0</v>
      </c>
      <c r="J11">
        <v>0</v>
      </c>
      <c r="K11">
        <v>0</v>
      </c>
      <c r="L11">
        <v>1</v>
      </c>
      <c r="M11" s="3">
        <f xml:space="preserve">
58353.13397
+ 1.209015414*(C11)
+ 34.01462932*(D11)
+ 3047.928974*(E11)
+ 13439.3628*(F11)
- 12401.60265*(G11)
+ 1618.412705*(H11)
- 18491.87448*(I11)
+ 29382.28461*(J11)
+ 18098.25052*(K11)
+ 42659.1453*(L11)</f>
        <v>863841.60676767025</v>
      </c>
      <c r="N11">
        <f>B11-M11</f>
        <v>46950.333232329693</v>
      </c>
    </row>
    <row r="12" spans="1:14">
      <c r="A12" t="s">
        <v>19</v>
      </c>
      <c r="B12">
        <v>779010.94</v>
      </c>
      <c r="C12">
        <v>68133.440000000002</v>
      </c>
      <c r="D12">
        <v>9459</v>
      </c>
      <c r="E12">
        <v>85</v>
      </c>
      <c r="F12">
        <v>4.2</v>
      </c>
      <c r="G12">
        <v>1</v>
      </c>
      <c r="H12">
        <v>0</v>
      </c>
      <c r="I12">
        <v>0</v>
      </c>
      <c r="J12">
        <v>0</v>
      </c>
      <c r="K12">
        <v>0</v>
      </c>
      <c r="L12">
        <v>1</v>
      </c>
      <c r="M12" s="3">
        <f xml:space="preserve">
58353.13397
+ 1.209015414*(C12)
+ 34.01462932*(D12)
+ 3047.928974*(E12)
+ 13439.3628*(F12)
- 12401.60265*(G12)
+ 1618.412705*(H12)
- 18491.87448*(I12)
+ 29382.28461*(J12)
+ 18098.25052*(K12)
+ 42659.1453*(L12)</f>
        <v>808248.72107672412</v>
      </c>
      <c r="N12">
        <f>B12-M12</f>
        <v>-29237.781076724175</v>
      </c>
    </row>
    <row r="13" spans="1:14">
      <c r="A13" t="s">
        <v>19</v>
      </c>
      <c r="B13">
        <v>723060.76</v>
      </c>
      <c r="C13">
        <v>34285.21</v>
      </c>
      <c r="D13">
        <v>9172</v>
      </c>
      <c r="E13">
        <v>88.3</v>
      </c>
      <c r="F13">
        <v>3.8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 s="3">
        <f xml:space="preserve">
58353.13397
+ 1.209015414*(C13)
+ 34.01462932*(D13)
+ 3047.928974*(E13)
+ 13439.3628*(F13)
- 12401.60265*(G13)
+ 1618.412705*(H13)
- 18491.87448*(I13)
+ 29382.28461*(J13)
+ 18098.25052*(K13)
+ 42659.1453*(L13)</f>
        <v>762245.91114946688</v>
      </c>
      <c r="N13">
        <f>B13-M13</f>
        <v>-39185.151149466867</v>
      </c>
    </row>
    <row r="14" spans="1:14">
      <c r="A14" t="s">
        <v>22</v>
      </c>
      <c r="B14">
        <v>922168.6</v>
      </c>
      <c r="C14">
        <v>71828.259999999995</v>
      </c>
      <c r="D14">
        <v>12775</v>
      </c>
      <c r="E14">
        <v>81.7</v>
      </c>
      <c r="F14">
        <v>4.2</v>
      </c>
      <c r="G14">
        <v>0</v>
      </c>
      <c r="H14">
        <v>0</v>
      </c>
      <c r="I14">
        <v>1</v>
      </c>
      <c r="J14">
        <v>0</v>
      </c>
      <c r="K14">
        <v>0</v>
      </c>
      <c r="L14">
        <v>0</v>
      </c>
      <c r="M14" s="3">
        <f xml:space="preserve">
58353.13397
+ 1.209015414*(C14)
+ 34.01462932*(D14)
+ 3047.928974*(E14)
+ 13439.3628*(F14)
- 12401.60265*(G14)
+ 1618.412705*(H14)
- 18491.87448*(I14)
+ 29382.28461*(J14)
+ 18098.25052*(K14)
+ 42659.1453*(L14)</f>
        <v>866700.74348959955</v>
      </c>
      <c r="N14">
        <f>B14-M14</f>
        <v>55467.856510400423</v>
      </c>
    </row>
    <row r="15" spans="1:14">
      <c r="A15" t="s">
        <v>22</v>
      </c>
      <c r="B15">
        <v>834017.02</v>
      </c>
      <c r="C15">
        <v>75305.710000000006</v>
      </c>
      <c r="D15">
        <v>10940</v>
      </c>
      <c r="E15">
        <v>76.5</v>
      </c>
      <c r="F15">
        <v>4.5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 s="3">
        <f xml:space="preserve">
58353.13397
+ 1.209015414*(C15)
+ 34.01462932*(D15)
+ 3047.928974*(E15)
+ 13439.3628*(F15)
- 12401.60265*(G15)
+ 1618.412705*(H15)
- 18491.87448*(I15)
+ 29382.28461*(J15)
+ 18098.25052*(K15)
+ 42659.1453*(L15)</f>
        <v>796670.76751401392</v>
      </c>
      <c r="N15">
        <f>B15-M15</f>
        <v>37346.252485986101</v>
      </c>
    </row>
    <row r="16" spans="1:14">
      <c r="A16" t="s">
        <v>22</v>
      </c>
      <c r="B16">
        <v>746501.09</v>
      </c>
      <c r="C16">
        <v>59909.51</v>
      </c>
      <c r="D16">
        <v>8895</v>
      </c>
      <c r="E16">
        <v>88.8</v>
      </c>
      <c r="F16">
        <v>4.3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 s="3">
        <f xml:space="preserve">
58353.13397
+ 1.209015414*(C16)
+ 34.01462932*(D16)
+ 3047.928974*(E16)
+ 13439.3628*(F16)
- 12401.60265*(G16)
+ 1618.412705*(H16)
- 18491.87448*(I16)
+ 29382.28461*(J16)
+ 18098.25052*(K16)
+ 42659.1453*(L16)</f>
        <v>743298.26125778712</v>
      </c>
      <c r="N16">
        <f>B16-M16</f>
        <v>3202.8287422128487</v>
      </c>
    </row>
    <row r="17" spans="1:14">
      <c r="A17" t="s">
        <v>22</v>
      </c>
      <c r="B17">
        <v>726606.28</v>
      </c>
      <c r="C17">
        <v>55716.82</v>
      </c>
      <c r="D17">
        <v>10054</v>
      </c>
      <c r="E17">
        <v>84.9</v>
      </c>
      <c r="F17">
        <v>4.3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s="3">
        <f xml:space="preserve">
58353.13397
+ 1.209015414*(C17)
+ 34.01462932*(D17)
+ 3047.928974*(E17)
+ 13439.3628*(F17)
- 12401.60265*(G17)
+ 1618.412705*(H17)
- 18491.87448*(I17)
+ 29382.28461*(J17)
+ 18098.25052*(K17)
+ 42659.1453*(L17)</f>
        <v>765765.26680494344</v>
      </c>
      <c r="N17">
        <f>B17-M17</f>
        <v>-39158.986804943415</v>
      </c>
    </row>
    <row r="18" spans="1:14">
      <c r="A18" t="s">
        <v>23</v>
      </c>
      <c r="B18">
        <v>591619.94999999995</v>
      </c>
      <c r="C18">
        <v>41441.93</v>
      </c>
      <c r="D18">
        <v>4865</v>
      </c>
      <c r="E18">
        <v>88.3</v>
      </c>
      <c r="F18">
        <v>4</v>
      </c>
      <c r="G18">
        <v>0</v>
      </c>
      <c r="H18">
        <v>1</v>
      </c>
      <c r="I18">
        <v>0</v>
      </c>
      <c r="J18">
        <v>0</v>
      </c>
      <c r="K18">
        <v>0</v>
      </c>
      <c r="L18">
        <v>0</v>
      </c>
      <c r="M18" s="3">
        <f xml:space="preserve">
58353.13397
+ 1.209015414*(C18)
+ 34.01462932*(D18)
+ 3047.928974*(E18)
+ 13439.3628*(F18)
- 12401.60265*(G18)
+ 1618.412705*(H18)
- 18491.87448*(I18)
+ 29382.28461*(J18)
+ 18098.25052*(K18)
+ 42659.1453*(L18)</f>
        <v>598446.23007690907</v>
      </c>
      <c r="N18">
        <f>B18-M18</f>
        <v>-6826.2800769091118</v>
      </c>
    </row>
    <row r="19" spans="1:14">
      <c r="A19" t="s">
        <v>23</v>
      </c>
      <c r="B19">
        <v>666152.52</v>
      </c>
      <c r="C19">
        <v>48804.22</v>
      </c>
      <c r="D19">
        <v>7057</v>
      </c>
      <c r="E19">
        <v>87.7</v>
      </c>
      <c r="F19">
        <v>3.7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 s="3">
        <f xml:space="preserve">
58353.13397
+ 1.209015414*(C19)
+ 34.01462932*(D19)
+ 3047.928974*(E19)
+ 13439.3628*(F19)
- 12401.60265*(G19)
+ 1618.412705*(H19)
- 18491.87448*(I19)
+ 29382.28461*(J19)
+ 18098.25052*(K19)
+ 42659.1453*(L19)</f>
        <v>676046.85341428721</v>
      </c>
      <c r="N19">
        <f>B19-M19</f>
        <v>-9894.33341428719</v>
      </c>
    </row>
    <row r="20" spans="1:14">
      <c r="A20" t="s">
        <v>23</v>
      </c>
      <c r="B20">
        <v>666573.19999999995</v>
      </c>
      <c r="C20">
        <v>78831.12</v>
      </c>
      <c r="D20">
        <v>5538</v>
      </c>
      <c r="E20">
        <v>94.1</v>
      </c>
      <c r="F20">
        <v>3.9</v>
      </c>
      <c r="G20">
        <v>0</v>
      </c>
      <c r="H20">
        <v>1</v>
      </c>
      <c r="I20">
        <v>0</v>
      </c>
      <c r="J20">
        <v>0</v>
      </c>
      <c r="K20">
        <v>0</v>
      </c>
      <c r="L20">
        <v>0</v>
      </c>
      <c r="M20" s="3">
        <f xml:space="preserve">
58353.13397
+ 1.209015414*(C20)
+ 34.01462932*(D20)
+ 3047.928974*(E20)
+ 13439.3628*(F20)
- 12401.60265*(G20)
+ 1618.412705*(H20)
- 18491.87448*(I20)
+ 29382.28461*(J20)
+ 18098.25052*(K20)
+ 42659.1453*(L20)</f>
        <v>682876.23440544365</v>
      </c>
      <c r="N20">
        <f>B20-M20</f>
        <v>-16303.034405443701</v>
      </c>
    </row>
    <row r="21" spans="1:14">
      <c r="A21" t="s">
        <v>23</v>
      </c>
      <c r="B21">
        <v>573155.18999999994</v>
      </c>
      <c r="C21">
        <v>59117.9</v>
      </c>
      <c r="D21">
        <v>4263</v>
      </c>
      <c r="E21">
        <v>87.6</v>
      </c>
      <c r="F21">
        <v>3.6</v>
      </c>
      <c r="G21">
        <v>0</v>
      </c>
      <c r="H21">
        <v>1</v>
      </c>
      <c r="I21">
        <v>0</v>
      </c>
      <c r="J21">
        <v>0</v>
      </c>
      <c r="K21">
        <v>0</v>
      </c>
      <c r="L21">
        <v>0</v>
      </c>
      <c r="M21" s="3">
        <f xml:space="preserve">
58353.13397
+ 1.209015414*(C21)
+ 34.01462932*(D21)
+ 3047.928974*(E21)
+ 13439.3628*(F21)
- 12401.60265*(G21)
+ 1618.412705*(H21)
- 18491.87448*(I21)
+ 29382.28461*(J21)
+ 18098.25052*(K21)
+ 42659.1453*(L21)</f>
        <v>591830.64801187057</v>
      </c>
      <c r="N21">
        <f>B21-M21</f>
        <v>-18675.458011870622</v>
      </c>
    </row>
    <row r="22" spans="1:14">
      <c r="A22" t="s">
        <v>25</v>
      </c>
      <c r="B22">
        <v>555929.4</v>
      </c>
      <c r="C22">
        <v>42267.37</v>
      </c>
      <c r="D22">
        <v>3364</v>
      </c>
      <c r="E22">
        <v>82</v>
      </c>
      <c r="F22">
        <v>4.5999999999999996</v>
      </c>
      <c r="G22">
        <v>1</v>
      </c>
      <c r="H22">
        <v>0</v>
      </c>
      <c r="I22">
        <v>0</v>
      </c>
      <c r="J22">
        <v>0</v>
      </c>
      <c r="K22">
        <v>0</v>
      </c>
      <c r="L22">
        <v>0</v>
      </c>
      <c r="M22" s="3">
        <f xml:space="preserve">
58353.13397
+ 1.209015414*(C22)
+ 34.01462932*(D22)
+ 3047.928974*(E22)
+ 13439.3628*(F22)
- 12401.60265*(G22)
+ 1618.412705*(H22)
- 18491.87448*(I22)
+ 29382.28461*(J22)
+ 18098.25052*(K22)
+ 42659.1453*(L22)</f>
        <v>523229.89093972114</v>
      </c>
      <c r="N22">
        <f>B22-M22</f>
        <v>32699.509060278884</v>
      </c>
    </row>
    <row r="23" spans="1:14">
      <c r="A23" t="s">
        <v>25</v>
      </c>
      <c r="B23">
        <v>565810.99</v>
      </c>
      <c r="C23">
        <v>62060.43</v>
      </c>
      <c r="D23">
        <v>2613</v>
      </c>
      <c r="E23">
        <v>92.1</v>
      </c>
      <c r="F23">
        <v>4.7</v>
      </c>
      <c r="G23">
        <v>1</v>
      </c>
      <c r="H23">
        <v>0</v>
      </c>
      <c r="I23">
        <v>0</v>
      </c>
      <c r="J23">
        <v>0</v>
      </c>
      <c r="K23">
        <v>0</v>
      </c>
      <c r="L23">
        <v>0</v>
      </c>
      <c r="M23" s="3">
        <f xml:space="preserve">
58353.13397
+ 1.209015414*(C23)
+ 34.01462932*(D23)
+ 3047.928974*(E23)
+ 13439.3628*(F23)
- 12401.60265*(G23)
+ 1618.412705*(H23)
- 18491.87448*(I23)
+ 29382.28461*(J23)
+ 18098.25052*(K23)
+ 42659.1453*(L23)</f>
        <v>553743.03786802804</v>
      </c>
      <c r="N23">
        <f>B23-M23</f>
        <v>12067.95213197195</v>
      </c>
    </row>
    <row r="24" spans="1:14">
      <c r="A24" t="s">
        <v>25</v>
      </c>
      <c r="B24">
        <v>491905.13</v>
      </c>
      <c r="C24">
        <v>33518.879999999997</v>
      </c>
      <c r="D24">
        <v>2121</v>
      </c>
      <c r="E24">
        <v>88.5</v>
      </c>
      <c r="F24">
        <v>5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 s="3">
        <f xml:space="preserve">
58353.13397
+ 1.209015414*(C24)
+ 34.01462932*(D24)
+ 3047.928974*(E24)
+ 13439.3628*(F24)
- 12401.60265*(G24)
+ 1618.412705*(H24)
- 18491.87448*(I24)
+ 29382.28461*(J24)
+ 18098.25052*(K24)
+ 42659.1453*(L24)</f>
        <v>495559.93088673626</v>
      </c>
      <c r="N24">
        <f>B24-M24</f>
        <v>-3654.8008867362514</v>
      </c>
    </row>
    <row r="25" spans="1:14">
      <c r="A25" t="s">
        <v>25</v>
      </c>
      <c r="B25">
        <v>415721.82</v>
      </c>
      <c r="C25">
        <v>30356.28</v>
      </c>
      <c r="D25">
        <v>2822</v>
      </c>
      <c r="E25">
        <v>84.8</v>
      </c>
      <c r="F25">
        <v>5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  <c r="M25" s="3">
        <f xml:space="preserve">
58353.13397
+ 1.209015414*(C25)
+ 34.01462932*(D25)
+ 3047.928974*(E25)
+ 13439.3628*(F25)
- 12401.60265*(G25)
+ 1618.412705*(H25)
- 18491.87448*(I25)
+ 29382.28461*(J25)
+ 18098.25052*(K25)
+ 42659.1453*(L25)</f>
        <v>504303.21668793989</v>
      </c>
      <c r="N25">
        <f>B25-M25</f>
        <v>-88581.396687939879</v>
      </c>
    </row>
    <row r="26" spans="1:14">
      <c r="A26" t="s">
        <v>26</v>
      </c>
      <c r="B26">
        <v>701641.97</v>
      </c>
      <c r="C26">
        <v>52715.1</v>
      </c>
      <c r="D26">
        <v>7223</v>
      </c>
      <c r="E26">
        <v>84.2</v>
      </c>
      <c r="F26">
        <v>3.7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 s="3">
        <f xml:space="preserve">
58353.13397
+ 1.209015414*(C26)
+ 34.01462932*(D26)
+ 3047.928974*(E26)
+ 13439.3628*(F26)
- 12401.60265*(G26)
+ 1618.412705*(H26)
- 18491.87448*(I26)
+ 29382.28461*(J26)
+ 18098.25052*(K26)
+ 42659.1453*(L26)</f>
        <v>703517.71657971141</v>
      </c>
      <c r="N26">
        <f>B26-M26</f>
        <v>-1875.7465797114419</v>
      </c>
    </row>
    <row r="27" spans="1:14">
      <c r="A27" t="s">
        <v>26</v>
      </c>
      <c r="B27">
        <v>783672.82</v>
      </c>
      <c r="C27">
        <v>55270.52</v>
      </c>
      <c r="D27">
        <v>9315</v>
      </c>
      <c r="E27">
        <v>91.9</v>
      </c>
      <c r="F27">
        <v>4</v>
      </c>
      <c r="G27">
        <v>0</v>
      </c>
      <c r="H27">
        <v>0</v>
      </c>
      <c r="I27">
        <v>0</v>
      </c>
      <c r="J27">
        <v>1</v>
      </c>
      <c r="K27">
        <v>0</v>
      </c>
      <c r="L27">
        <v>0</v>
      </c>
      <c r="M27" s="3">
        <f xml:space="preserve">
58353.13397
+ 1.209015414*(C27)
+ 34.01462932*(D27)
+ 3047.928974*(E27)
+ 13439.3628*(F27)
- 12401.60265*(G27)
+ 1618.412705*(H27)
- 18491.87448*(I27)
+ 29382.28461*(J27)
+ 18098.25052*(K27)
+ 42659.1453*(L27)</f>
        <v>805266.7252261953</v>
      </c>
      <c r="N27">
        <f>B27-M27</f>
        <v>-21593.905226195347</v>
      </c>
    </row>
    <row r="28" spans="1:14">
      <c r="A28" t="s">
        <v>26</v>
      </c>
      <c r="B28">
        <v>811771.14</v>
      </c>
      <c r="C28">
        <v>57696.69</v>
      </c>
      <c r="D28">
        <v>10218</v>
      </c>
      <c r="E28">
        <v>94.8</v>
      </c>
      <c r="F28">
        <v>3.5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 s="3">
        <f xml:space="preserve">
58353.13397
+ 1.209015414*(C28)
+ 34.01462932*(D28)
+ 3047.928974*(E28)
+ 13439.3628*(F28)
- 12401.60265*(G28)
+ 1618.412705*(H28)
- 18491.87448*(I28)
+ 29382.28461*(J28)
+ 18098.25052*(K28)
+ 42659.1453*(L28)</f>
        <v>841034.52505373966</v>
      </c>
      <c r="N28">
        <f>B28-M28</f>
        <v>-29263.38505373965</v>
      </c>
    </row>
    <row r="29" spans="1:14">
      <c r="A29" t="s">
        <v>26</v>
      </c>
      <c r="B29">
        <v>800451.94</v>
      </c>
      <c r="C29">
        <v>172415.52</v>
      </c>
      <c r="D29">
        <v>8927</v>
      </c>
      <c r="E29">
        <v>86.2</v>
      </c>
      <c r="F29">
        <v>3.9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 s="3">
        <f xml:space="preserve">
58353.13397
+ 1.209015414*(C29)
+ 34.01462932*(D29)
+ 3047.928974*(E29)
+ 13439.3628*(F29)
- 12401.60265*(G29)
+ 1618.412705*(H29)
- 18491.87448*(I29)
+ 29382.28461*(J29)
+ 18098.25052*(K29)
+ 42659.1453*(L29)</f>
        <v>914982.02829126525</v>
      </c>
      <c r="N29">
        <f>B29-M29</f>
        <v>-114530.0882912653</v>
      </c>
    </row>
    <row r="30" spans="1:14">
      <c r="A30" t="s">
        <v>29</v>
      </c>
      <c r="B30">
        <v>537383.79</v>
      </c>
      <c r="C30">
        <v>63176.73</v>
      </c>
      <c r="D30">
        <v>2390</v>
      </c>
      <c r="E30">
        <v>87.5</v>
      </c>
      <c r="F30">
        <v>3.1</v>
      </c>
      <c r="G30">
        <v>0</v>
      </c>
      <c r="H30">
        <v>0</v>
      </c>
      <c r="I30">
        <v>1</v>
      </c>
      <c r="J30">
        <v>0</v>
      </c>
      <c r="K30">
        <v>0</v>
      </c>
      <c r="L30">
        <v>0</v>
      </c>
      <c r="M30" s="3">
        <f xml:space="preserve">
58353.13397
+ 1.209015414*(C30)
+ 34.01462932*(D30)
+ 3047.928974*(E30)
+ 13439.3628*(F30)
- 12401.60265*(G30)
+ 1618.412705*(H30)
- 18491.87448*(I30)
+ 29382.28461*(J30)
+ 18098.25052*(K30)
+ 42659.1453*(L30)</f>
        <v>505893.67384591629</v>
      </c>
      <c r="N30">
        <f>B30-M30</f>
        <v>31490.116154083749</v>
      </c>
    </row>
    <row r="31" spans="1:14">
      <c r="A31" t="s">
        <v>29</v>
      </c>
      <c r="B31">
        <v>500173.02</v>
      </c>
      <c r="C31">
        <v>44970.080000000002</v>
      </c>
      <c r="D31">
        <v>2471</v>
      </c>
      <c r="E31">
        <v>87.6</v>
      </c>
      <c r="F31">
        <v>3.7</v>
      </c>
      <c r="G31">
        <v>0</v>
      </c>
      <c r="H31">
        <v>0</v>
      </c>
      <c r="I31">
        <v>1</v>
      </c>
      <c r="J31">
        <v>0</v>
      </c>
      <c r="K31">
        <v>0</v>
      </c>
      <c r="L31">
        <v>0</v>
      </c>
      <c r="M31" s="3">
        <f xml:space="preserve">
58353.13397
+ 1.209015414*(C31)
+ 34.01462932*(D31)
+ 3047.928974*(E31)
+ 13439.3628*(F31)
- 12401.60265*(G31)
+ 1618.412705*(H31)
- 18491.87448*(I31)
+ 29382.28461*(J31)
+ 18098.25052*(K31)
+ 42659.1453*(L31)</f>
        <v>495005.14891093312</v>
      </c>
      <c r="N31">
        <f>B31-M31</f>
        <v>5167.8710890669026</v>
      </c>
    </row>
    <row r="32" spans="1:14">
      <c r="A32" t="s">
        <v>29</v>
      </c>
      <c r="B32">
        <v>427917.38</v>
      </c>
      <c r="C32">
        <v>69816.350000000006</v>
      </c>
      <c r="D32">
        <v>971</v>
      </c>
      <c r="E32">
        <v>89.9</v>
      </c>
      <c r="F32">
        <v>3.6</v>
      </c>
      <c r="G32">
        <v>0</v>
      </c>
      <c r="H32">
        <v>0</v>
      </c>
      <c r="I32">
        <v>1</v>
      </c>
      <c r="J32">
        <v>0</v>
      </c>
      <c r="K32">
        <v>0</v>
      </c>
      <c r="L32">
        <v>0</v>
      </c>
      <c r="M32" s="3">
        <f xml:space="preserve">
58353.13397
+ 1.209015414*(C32)
+ 34.01462932*(D32)
+ 3047.928974*(E32)
+ 13439.3628*(F32)
- 12401.60265*(G32)
+ 1618.412705*(H32)
- 18491.87448*(I32)
+ 29382.28461*(J32)
+ 18098.25052*(K32)
+ 42659.1453*(L32)</f>
        <v>479689.02870153892</v>
      </c>
      <c r="N32">
        <f>B32-M32</f>
        <v>-51771.648701538914</v>
      </c>
    </row>
    <row r="33" spans="1:14">
      <c r="A33" t="s">
        <v>29</v>
      </c>
      <c r="B33">
        <v>511844.41</v>
      </c>
      <c r="C33">
        <v>68600.62</v>
      </c>
      <c r="D33">
        <v>3988</v>
      </c>
      <c r="E33">
        <v>85</v>
      </c>
      <c r="F33">
        <v>3.6</v>
      </c>
      <c r="G33">
        <v>0</v>
      </c>
      <c r="H33">
        <v>0</v>
      </c>
      <c r="I33">
        <v>1</v>
      </c>
      <c r="J33">
        <v>0</v>
      </c>
      <c r="K33">
        <v>0</v>
      </c>
      <c r="L33">
        <v>0</v>
      </c>
      <c r="M33" s="3">
        <f xml:space="preserve">
58353.13397
+ 1.209015414*(C33)
+ 34.01462932*(D33)
+ 3047.928974*(E33)
+ 13439.3628*(F33)
- 12401.60265*(G33)
+ 1618.412705*(H33)
- 18491.87448*(I33)
+ 29382.28461*(J33)
+ 18098.25052*(K33)
+ 42659.1453*(L33)</f>
        <v>565906.47707811673</v>
      </c>
      <c r="N33">
        <f>B33-M33</f>
        <v>-54062.067078116757</v>
      </c>
    </row>
    <row r="34" spans="1:14">
      <c r="A34" t="s">
        <v>30</v>
      </c>
      <c r="B34">
        <v>798952.17</v>
      </c>
      <c r="C34">
        <v>74413.88</v>
      </c>
      <c r="D34">
        <v>9449</v>
      </c>
      <c r="E34">
        <v>92.1</v>
      </c>
      <c r="F34">
        <v>3.5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 s="3">
        <f xml:space="preserve">
58353.13397
+ 1.209015414*(C34)
+ 34.01462932*(D34)
+ 3047.928974*(E34)
+ 13439.3628*(F34)
- 12401.60265*(G34)
+ 1618.412705*(H34)
- 18491.87448*(I34)
+ 29382.28461*(J34)
+ 18098.25052*(K34)
+ 42659.1453*(L34)</f>
        <v>785075.3200056263</v>
      </c>
      <c r="N34">
        <f>B34-M34</f>
        <v>13876.849994373741</v>
      </c>
    </row>
    <row r="35" spans="1:14">
      <c r="A35" t="s">
        <v>30</v>
      </c>
      <c r="B35">
        <v>800979.78</v>
      </c>
      <c r="C35">
        <v>52483.77</v>
      </c>
      <c r="D35">
        <v>10453</v>
      </c>
      <c r="E35">
        <v>99</v>
      </c>
      <c r="F35">
        <v>3.6</v>
      </c>
      <c r="G35">
        <v>1</v>
      </c>
      <c r="H35">
        <v>0</v>
      </c>
      <c r="I35">
        <v>0</v>
      </c>
      <c r="J35">
        <v>0</v>
      </c>
      <c r="K35">
        <v>0</v>
      </c>
      <c r="L35">
        <v>0</v>
      </c>
      <c r="M35" s="3">
        <f xml:space="preserve">
58353.13397
+ 1.209015414*(C35)
+ 34.01462932*(D35)
+ 3047.928974*(E35)
+ 13439.3628*(F35)
- 12401.60265*(G35)
+ 1618.412705*(H35)
- 18491.87448*(I35)
+ 29382.28461*(J35)
+ 18098.25052*(K35)
+ 42659.1453*(L35)</f>
        <v>815086.81302279083</v>
      </c>
      <c r="N35">
        <f>B35-M35</f>
        <v>-14107.033022790798</v>
      </c>
    </row>
    <row r="36" spans="1:14">
      <c r="A36" t="s">
        <v>30</v>
      </c>
      <c r="B36">
        <v>799477.76000000001</v>
      </c>
      <c r="C36">
        <v>73771.91</v>
      </c>
      <c r="D36">
        <v>11695</v>
      </c>
      <c r="E36">
        <v>84.7</v>
      </c>
      <c r="F36">
        <v>3.9246794871794881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 s="3">
        <f xml:space="preserve">
58353.13397
+ 1.209015414*(C36)
+ 34.01462932*(D36)
+ 3047.928974*(E36)
+ 13439.3628*(F36)
- 12401.60265*(G36)
+ 1618.412705*(H36)
- 18491.87448*(I36)
+ 29382.28461*(J36)
+ 18098.25052*(K36)
+ 42659.1453*(L36)</f>
        <v>843848.77312734374</v>
      </c>
      <c r="N36">
        <f>B36-M36</f>
        <v>-44371.013127343729</v>
      </c>
    </row>
    <row r="37" spans="1:14">
      <c r="A37" t="s">
        <v>30</v>
      </c>
      <c r="B37">
        <v>641865.03</v>
      </c>
      <c r="C37">
        <v>54597.83</v>
      </c>
      <c r="D37">
        <v>9429</v>
      </c>
      <c r="E37">
        <v>83.3</v>
      </c>
      <c r="F37">
        <v>4.2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 s="3">
        <f xml:space="preserve">
58353.13397
+ 1.209015414*(C37)
+ 34.01462932*(D37)
+ 3047.928974*(E37)
+ 13439.3628*(F37)
- 12401.60265*(G37)
+ 1618.412705*(H37)
- 18491.87448*(I37)
+ 29382.28461*(J37)
+ 18098.25052*(K37)
+ 42659.1453*(L37)</f>
        <v>743022.89651343157</v>
      </c>
      <c r="N37">
        <f>B37-M37</f>
        <v>-101157.86651343154</v>
      </c>
    </row>
    <row r="38" spans="1:14">
      <c r="A38" t="s">
        <v>31</v>
      </c>
      <c r="B38">
        <v>820593.93</v>
      </c>
      <c r="C38">
        <v>75269.87</v>
      </c>
      <c r="D38">
        <v>8838</v>
      </c>
      <c r="E38">
        <v>83.1</v>
      </c>
      <c r="F38">
        <v>4.2</v>
      </c>
      <c r="G38">
        <v>1</v>
      </c>
      <c r="H38">
        <v>0</v>
      </c>
      <c r="I38">
        <v>0</v>
      </c>
      <c r="J38">
        <v>1</v>
      </c>
      <c r="K38">
        <v>0</v>
      </c>
      <c r="L38">
        <v>0</v>
      </c>
      <c r="M38" s="3">
        <f xml:space="preserve">
58353.13397
+ 1.209015414*(C38)
+ 34.01462932*(D38)
+ 3047.928974*(E38)
+ 13439.3628*(F38)
- 12401.60265*(G38)
+ 1618.412705*(H38)
- 18491.87448*(I38)
+ 29382.28461*(J38)
+ 18098.25052*(K38)
+ 42659.1453*(L38)</f>
        <v>776685.76439933619</v>
      </c>
      <c r="N38">
        <f>B38-M38</f>
        <v>43908.165600663866</v>
      </c>
    </row>
    <row r="39" spans="1:14">
      <c r="A39" t="s">
        <v>31</v>
      </c>
      <c r="B39">
        <v>828623.85</v>
      </c>
      <c r="C39">
        <v>65012.19</v>
      </c>
      <c r="D39">
        <v>9598</v>
      </c>
      <c r="E39">
        <v>98.3</v>
      </c>
      <c r="F39">
        <v>3.8</v>
      </c>
      <c r="G39">
        <v>1</v>
      </c>
      <c r="H39">
        <v>0</v>
      </c>
      <c r="I39">
        <v>0</v>
      </c>
      <c r="J39">
        <v>1</v>
      </c>
      <c r="K39">
        <v>0</v>
      </c>
      <c r="L39">
        <v>0</v>
      </c>
      <c r="M39" s="3">
        <f xml:space="preserve">
58353.13397
+ 1.209015414*(C39)
+ 34.01462932*(D39)
+ 3047.928974*(E39)
+ 13439.3628*(F39)
- 12401.60265*(G39)
+ 1618.412705*(H39)
- 18491.87448*(I39)
+ 29382.28461*(J39)
+ 18098.25052*(K39)
+ 42659.1453*(L39)</f>
        <v>831087.96473545651</v>
      </c>
      <c r="N39">
        <f>B39-M39</f>
        <v>-2464.1147354565328</v>
      </c>
    </row>
    <row r="40" spans="1:14">
      <c r="A40" t="s">
        <v>31</v>
      </c>
      <c r="B40">
        <v>736633.4</v>
      </c>
      <c r="C40">
        <v>93381.26</v>
      </c>
      <c r="D40">
        <v>7562</v>
      </c>
      <c r="E40">
        <v>82.9</v>
      </c>
      <c r="F40">
        <v>4</v>
      </c>
      <c r="G40">
        <v>1</v>
      </c>
      <c r="H40">
        <v>0</v>
      </c>
      <c r="I40">
        <v>0</v>
      </c>
      <c r="J40">
        <v>1</v>
      </c>
      <c r="K40">
        <v>0</v>
      </c>
      <c r="L40">
        <v>0</v>
      </c>
      <c r="M40" s="3">
        <f xml:space="preserve">
58353.13397
+ 1.209015414*(C40)
+ 34.01462932*(D40)
+ 3047.928974*(E40)
+ 13439.3628*(F40)
- 12401.60265*(G40)
+ 1618.412705*(H40)
- 18491.87448*(I40)
+ 29382.28461*(J40)
+ 18098.25052*(K40)
+ 42659.1453*(L40)</f>
        <v>751882.58871118166</v>
      </c>
      <c r="N40">
        <f>B40-M40</f>
        <v>-15249.188711181632</v>
      </c>
    </row>
    <row r="41" spans="1:14">
      <c r="A41" t="s">
        <v>31</v>
      </c>
      <c r="B41">
        <v>718330.53</v>
      </c>
      <c r="C41">
        <v>61245.41</v>
      </c>
      <c r="D41">
        <v>8156</v>
      </c>
      <c r="E41">
        <v>92.9</v>
      </c>
      <c r="F41">
        <v>3.8</v>
      </c>
      <c r="G41">
        <v>1</v>
      </c>
      <c r="H41">
        <v>0</v>
      </c>
      <c r="I41">
        <v>0</v>
      </c>
      <c r="J41">
        <v>1</v>
      </c>
      <c r="K41">
        <v>0</v>
      </c>
      <c r="L41">
        <v>0</v>
      </c>
      <c r="M41" s="3">
        <f xml:space="preserve">
58353.13397
+ 1.209015414*(C41)
+ 34.01462932*(D41)
+ 3047.928974*(E41)
+ 13439.3628*(F41)
- 12401.60265*(G41)
+ 1618.412705*(H41)
- 18491.87448*(I41)
+ 29382.28461*(J41)
+ 18098.25052*(K41)
+ 42659.1453*(L41)</f>
        <v>761025.95771526964</v>
      </c>
      <c r="N41">
        <f>B41-M41</f>
        <v>-42695.427715269616</v>
      </c>
    </row>
    <row r="42" spans="1:14">
      <c r="A42" t="s">
        <v>32</v>
      </c>
      <c r="B42">
        <v>657429.18000000005</v>
      </c>
      <c r="C42">
        <v>68077.539999999994</v>
      </c>
      <c r="D42">
        <v>3360</v>
      </c>
      <c r="E42">
        <v>88.2</v>
      </c>
      <c r="F42">
        <v>4</v>
      </c>
      <c r="G42">
        <v>0</v>
      </c>
      <c r="H42">
        <v>0</v>
      </c>
      <c r="I42">
        <v>1</v>
      </c>
      <c r="J42">
        <v>1</v>
      </c>
      <c r="K42">
        <v>0</v>
      </c>
      <c r="L42">
        <v>0</v>
      </c>
      <c r="M42" s="3">
        <f xml:space="preserve">
58353.13397
+ 1.209015414*(C42)
+ 34.01462932*(D42)
+ 3047.928974*(E42)
+ 13439.3628*(F42)
- 12401.60265*(G42)
+ 1618.412705*(H42)
- 18491.87448*(I42)
+ 29382.28461*(J42)
+ 18098.25052*(K42)
+ 42659.1453*(L42)</f>
        <v>588424.2805292015</v>
      </c>
      <c r="N42">
        <f>B42-M42</f>
        <v>69004.899470798555</v>
      </c>
    </row>
    <row r="43" spans="1:14">
      <c r="A43" t="s">
        <v>32</v>
      </c>
      <c r="B43">
        <v>605178</v>
      </c>
      <c r="C43">
        <v>64882.14</v>
      </c>
      <c r="D43">
        <v>3642</v>
      </c>
      <c r="E43">
        <v>87.8</v>
      </c>
      <c r="F43">
        <v>4.2</v>
      </c>
      <c r="G43">
        <v>0</v>
      </c>
      <c r="H43">
        <v>0</v>
      </c>
      <c r="I43">
        <v>1</v>
      </c>
      <c r="J43">
        <v>1</v>
      </c>
      <c r="K43">
        <v>0</v>
      </c>
      <c r="L43">
        <v>0</v>
      </c>
      <c r="M43" s="3">
        <f xml:space="preserve">
58353.13397
+ 1.209015414*(C43)
+ 34.01462932*(D43)
+ 3047.928974*(E43)
+ 13439.3628*(F43)
- 12401.60265*(G43)
+ 1618.412705*(H43)
- 18491.87448*(I43)
+ 29382.28461*(J43)
+ 18098.25052*(K43)
+ 42659.1453*(L43)</f>
        <v>595621.81911394605</v>
      </c>
      <c r="N43">
        <f>B43-M43</f>
        <v>9556.1808860539459</v>
      </c>
    </row>
    <row r="44" spans="1:14">
      <c r="A44" t="s">
        <v>32</v>
      </c>
      <c r="B44">
        <v>532644.46</v>
      </c>
      <c r="C44">
        <v>46123.88</v>
      </c>
      <c r="D44">
        <v>3227</v>
      </c>
      <c r="E44">
        <v>75.400000000000006</v>
      </c>
      <c r="F44">
        <v>4.4000000000000004</v>
      </c>
      <c r="G44">
        <v>0</v>
      </c>
      <c r="H44">
        <v>0</v>
      </c>
      <c r="I44">
        <v>1</v>
      </c>
      <c r="J44">
        <v>1</v>
      </c>
      <c r="K44">
        <v>0</v>
      </c>
      <c r="L44">
        <v>0</v>
      </c>
      <c r="M44" s="3">
        <f xml:space="preserve">
58353.13397
+ 1.209015414*(C44)
+ 34.01462932*(D44)
+ 3047.928974*(E44)
+ 13439.3628*(F44)
- 12401.60265*(G44)
+ 1618.412705*(H44)
- 18491.87448*(I44)
+ 29382.28461*(J44)
+ 18098.25052*(K44)
+ 42659.1453*(L44)</f>
        <v>523720.27574872633</v>
      </c>
      <c r="N44">
        <f>B44-M44</f>
        <v>8924.184251273633</v>
      </c>
    </row>
    <row r="45" spans="1:14">
      <c r="A45" t="s">
        <v>32</v>
      </c>
      <c r="B45">
        <v>592195.85</v>
      </c>
      <c r="C45">
        <v>40462.94</v>
      </c>
      <c r="D45">
        <v>3660</v>
      </c>
      <c r="E45">
        <v>95.2</v>
      </c>
      <c r="F45">
        <v>4.4000000000000004</v>
      </c>
      <c r="G45">
        <v>0</v>
      </c>
      <c r="H45">
        <v>0</v>
      </c>
      <c r="I45">
        <v>1</v>
      </c>
      <c r="J45">
        <v>1</v>
      </c>
      <c r="K45">
        <v>0</v>
      </c>
      <c r="L45">
        <v>0</v>
      </c>
      <c r="M45" s="3">
        <f xml:space="preserve">
58353.13397
+ 1.209015414*(C45)
+ 34.01462932*(D45)
+ 3047.928974*(E45)
+ 13439.3628*(F45)
- 12401.60265*(G45)
+ 1618.412705*(H45)
- 18491.87448*(I45)
+ 29382.28461*(J45)
+ 18098.25052*(K45)
+ 42659.1453*(L45)</f>
        <v>591953.4402117572</v>
      </c>
      <c r="N45">
        <f>B45-M45</f>
        <v>242.40978824277408</v>
      </c>
    </row>
    <row r="46" spans="1:14">
      <c r="A46" t="s">
        <v>33</v>
      </c>
      <c r="B46">
        <v>614800.09</v>
      </c>
      <c r="C46">
        <v>50043.65</v>
      </c>
      <c r="D46">
        <v>3804</v>
      </c>
      <c r="E46">
        <v>90.9</v>
      </c>
      <c r="F46">
        <v>3.2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 s="3">
        <f xml:space="preserve">
58353.13397
+ 1.209015414*(C46)
+ 34.01462932*(D46)
+ 3047.928974*(E46)
+ 13439.3628*(F46)
- 12401.60265*(G46)
+ 1618.412705*(H46)
- 18491.87448*(I46)
+ 29382.28461*(J46)
+ 18098.25052*(K46)
+ 42659.1453*(L46)</f>
        <v>568311.03282270115</v>
      </c>
      <c r="N46">
        <f>B46-M46</f>
        <v>46489.057177298819</v>
      </c>
    </row>
    <row r="47" spans="1:14">
      <c r="A47" t="s">
        <v>33</v>
      </c>
      <c r="B47">
        <v>585365.73</v>
      </c>
      <c r="C47">
        <v>42093.84</v>
      </c>
      <c r="D47">
        <v>4074</v>
      </c>
      <c r="E47">
        <v>88</v>
      </c>
      <c r="F47">
        <v>3.3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s="3">
        <f xml:space="preserve">
58353.13397
+ 1.209015414*(C47)
+ 34.01462932*(D47)
+ 3047.928974*(E47)
+ 13439.3628*(F47)
- 12401.60265*(G47)
+ 1618.412705*(H47)
- 18491.87448*(I47)
+ 29382.28461*(J47)
+ 18098.25052*(K47)
+ 42659.1453*(L47)</f>
        <v>560388.48216612975</v>
      </c>
      <c r="N47">
        <f>B47-M47</f>
        <v>24977.247833870235</v>
      </c>
    </row>
    <row r="48" spans="1:14">
      <c r="A48" t="s">
        <v>33</v>
      </c>
      <c r="B48">
        <v>599603.4</v>
      </c>
      <c r="C48">
        <v>63630.21</v>
      </c>
      <c r="D48">
        <v>4460</v>
      </c>
      <c r="E48">
        <v>98.6</v>
      </c>
      <c r="F48">
        <v>3.5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 s="3">
        <f xml:space="preserve">
58353.13397
+ 1.209015414*(C48)
+ 34.01462932*(D48)
+ 3047.928974*(E48)
+ 13439.3628*(F48)
- 12401.60265*(G48)
+ 1618.412705*(H48)
- 18491.87448*(I48)
+ 29382.28461*(J48)
+ 18098.25052*(K48)
+ 42659.1453*(L48)</f>
        <v>634551.85205965687</v>
      </c>
      <c r="N48">
        <f>B48-M48</f>
        <v>-34948.452059656847</v>
      </c>
    </row>
    <row r="49" spans="1:14">
      <c r="A49" t="s">
        <v>33</v>
      </c>
      <c r="B49">
        <v>595467.6</v>
      </c>
      <c r="C49">
        <v>138855.51</v>
      </c>
      <c r="D49">
        <v>5145</v>
      </c>
      <c r="E49">
        <v>88.2</v>
      </c>
      <c r="F49">
        <v>3.2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 s="3">
        <f xml:space="preserve">
58353.13397
+ 1.209015414*(C49)
+ 34.01462932*(D49)
+ 3047.928974*(E49)
+ 13439.3628*(F49)
- 12401.60265*(G49)
+ 1618.412705*(H49)
- 18491.87448*(I49)
+ 29382.28461*(J49)
+ 18098.25052*(K49)
+ 42659.1453*(L49)</f>
        <v>713070.15019703121</v>
      </c>
      <c r="N49">
        <f>B49-M49</f>
        <v>-117602.55019703123</v>
      </c>
    </row>
    <row r="50" spans="1:14">
      <c r="A50" t="s">
        <v>34</v>
      </c>
      <c r="B50">
        <v>773815.14</v>
      </c>
      <c r="C50">
        <v>65312.49</v>
      </c>
      <c r="D50">
        <v>7189</v>
      </c>
      <c r="E50">
        <v>93.7</v>
      </c>
      <c r="F50">
        <v>4.5999999999999996</v>
      </c>
      <c r="G50">
        <v>1</v>
      </c>
      <c r="H50">
        <v>0</v>
      </c>
      <c r="I50">
        <v>0</v>
      </c>
      <c r="J50">
        <v>1</v>
      </c>
      <c r="K50">
        <v>0</v>
      </c>
      <c r="L50">
        <v>0</v>
      </c>
      <c r="M50" s="3">
        <f xml:space="preserve">
58353.13397
+ 1.209015414*(C50)
+ 34.01462932*(D50)
+ 3047.928974*(E50)
+ 13439.3628*(F50)
- 12401.60265*(G50)
+ 1618.412705*(H50)
- 18491.87448*(I50)
+ 29382.28461*(J50)
+ 18098.25052*(K50)
+ 42659.1453*(L50)</f>
        <v>746240.80699200078</v>
      </c>
      <c r="N50">
        <f>B50-M50</f>
        <v>27574.33300799923</v>
      </c>
    </row>
    <row r="51" spans="1:14">
      <c r="A51" t="s">
        <v>34</v>
      </c>
      <c r="B51">
        <v>625672.86</v>
      </c>
      <c r="C51">
        <v>48287.85</v>
      </c>
      <c r="D51">
        <v>5150</v>
      </c>
      <c r="E51">
        <v>80.400000000000006</v>
      </c>
      <c r="F51">
        <v>4.5</v>
      </c>
      <c r="G51">
        <v>1</v>
      </c>
      <c r="H51">
        <v>0</v>
      </c>
      <c r="I51">
        <v>0</v>
      </c>
      <c r="J51">
        <v>1</v>
      </c>
      <c r="K51">
        <v>0</v>
      </c>
      <c r="L51">
        <v>0</v>
      </c>
      <c r="M51" s="3">
        <f xml:space="preserve">
58353.13397
+ 1.209015414*(C51)
+ 34.01462932*(D51)
+ 3047.928974*(E51)
+ 13439.3628*(F51)
- 12401.60265*(G51)
+ 1618.412705*(H51)
- 18491.87448*(I51)
+ 29382.28461*(J51)
+ 18098.25052*(K51)
+ 42659.1453*(L51)</f>
        <v>614420.53399651987</v>
      </c>
      <c r="N51">
        <f>B51-M51</f>
        <v>11252.326003480121</v>
      </c>
    </row>
    <row r="52" spans="1:14">
      <c r="A52" t="s">
        <v>34</v>
      </c>
      <c r="B52">
        <v>603297.56999999995</v>
      </c>
      <c r="C52">
        <v>49710.29</v>
      </c>
      <c r="D52">
        <v>5559</v>
      </c>
      <c r="E52">
        <v>71</v>
      </c>
      <c r="F52">
        <v>4.5999999999999996</v>
      </c>
      <c r="G52">
        <v>1</v>
      </c>
      <c r="H52">
        <v>0</v>
      </c>
      <c r="I52">
        <v>0</v>
      </c>
      <c r="J52">
        <v>1</v>
      </c>
      <c r="K52">
        <v>0</v>
      </c>
      <c r="L52">
        <v>0</v>
      </c>
      <c r="M52" s="3">
        <f xml:space="preserve">
58353.13397
+ 1.209015414*(C52)
+ 34.01462932*(D52)
+ 3047.928974*(E52)
+ 13439.3628*(F52)
- 12401.60265*(G52)
+ 1618.412705*(H52)
- 18491.87448*(I52)
+ 29382.28461*(J52)
+ 18098.25052*(K52)
+ 42659.1453*(L52)</f>
        <v>602745.67319829005</v>
      </c>
      <c r="N52">
        <f>B52-M52</f>
        <v>551.89680170989595</v>
      </c>
    </row>
    <row r="53" spans="1:14">
      <c r="A53" t="s">
        <v>34</v>
      </c>
      <c r="B53">
        <v>622811.74</v>
      </c>
      <c r="C53">
        <v>46624.05</v>
      </c>
      <c r="D53">
        <v>5104</v>
      </c>
      <c r="E53">
        <v>97.3</v>
      </c>
      <c r="F53">
        <v>4.7</v>
      </c>
      <c r="G53">
        <v>1</v>
      </c>
      <c r="H53">
        <v>0</v>
      </c>
      <c r="I53">
        <v>0</v>
      </c>
      <c r="J53">
        <v>1</v>
      </c>
      <c r="K53">
        <v>0</v>
      </c>
      <c r="L53">
        <v>0</v>
      </c>
      <c r="M53" s="3">
        <f xml:space="preserve">
58353.13397
+ 1.209015414*(C53)
+ 34.01462932*(D53)
+ 3047.928974*(E53)
+ 13439.3628*(F53)
- 12401.60265*(G53)
+ 1618.412705*(H53)
- 18491.87448*(I53)
+ 29382.28461*(J53)
+ 18098.25052*(K53)
+ 42659.1453*(L53)</f>
        <v>665042.17342258664</v>
      </c>
      <c r="N53">
        <f>B53-M53</f>
        <v>-42230.433422586648</v>
      </c>
    </row>
    <row r="54" spans="1:14">
      <c r="A54" t="s">
        <v>35</v>
      </c>
      <c r="B54">
        <v>720852.5</v>
      </c>
      <c r="C54">
        <v>81195.5</v>
      </c>
      <c r="D54">
        <v>5516</v>
      </c>
      <c r="E54">
        <v>88</v>
      </c>
      <c r="F54">
        <v>4.3</v>
      </c>
      <c r="G54">
        <v>0</v>
      </c>
      <c r="H54">
        <v>0</v>
      </c>
      <c r="I54">
        <v>0</v>
      </c>
      <c r="J54">
        <v>0</v>
      </c>
      <c r="K54">
        <v>1</v>
      </c>
      <c r="L54">
        <v>0</v>
      </c>
      <c r="M54" s="3">
        <f xml:space="preserve">
58353.13397
+ 1.209015414*(C54)
+ 34.01462932*(D54)
+ 3047.928974*(E54)
+ 13439.3628*(F54)
- 12401.60265*(G54)
+ 1618.412705*(H54)
- 18491.87448*(I54)
+ 29382.28461*(J54)
+ 18098.25052*(K54)
+ 42659.1453*(L54)</f>
        <v>688249.70061855693</v>
      </c>
      <c r="N54">
        <f>B54-M54</f>
        <v>32602.799381443067</v>
      </c>
    </row>
    <row r="55" spans="1:14">
      <c r="A55" t="s">
        <v>35</v>
      </c>
      <c r="B55">
        <v>746677.75</v>
      </c>
      <c r="C55">
        <v>99874.01</v>
      </c>
      <c r="D55">
        <v>5887</v>
      </c>
      <c r="E55">
        <v>88.7</v>
      </c>
      <c r="F55">
        <v>4.7</v>
      </c>
      <c r="G55">
        <v>0</v>
      </c>
      <c r="H55">
        <v>0</v>
      </c>
      <c r="I55">
        <v>0</v>
      </c>
      <c r="J55">
        <v>0</v>
      </c>
      <c r="K55">
        <v>1</v>
      </c>
      <c r="L55">
        <v>0</v>
      </c>
      <c r="M55" s="3">
        <f xml:space="preserve">
58353.13397
+ 1.209015414*(C55)
+ 34.01462932*(D55)
+ 3047.928974*(E55)
+ 13439.3628*(F55)
- 12401.60265*(G55)
+ 1618.412705*(H55)
- 18491.87448*(I55)
+ 29382.28461*(J55)
+ 18098.25052*(K55)
+ 42659.1453*(L55)</f>
        <v>730961.02999863017</v>
      </c>
      <c r="N55">
        <f>B55-M55</f>
        <v>15716.720001369831</v>
      </c>
    </row>
    <row r="56" spans="1:14">
      <c r="A56" t="s">
        <v>35</v>
      </c>
      <c r="B56">
        <v>487464.91</v>
      </c>
      <c r="C56">
        <v>27808.6</v>
      </c>
      <c r="D56">
        <v>2863</v>
      </c>
      <c r="E56">
        <v>89.3</v>
      </c>
      <c r="F56">
        <v>4.0999999999999996</v>
      </c>
      <c r="G56">
        <v>0</v>
      </c>
      <c r="H56">
        <v>0</v>
      </c>
      <c r="I56">
        <v>0</v>
      </c>
      <c r="J56">
        <v>0</v>
      </c>
      <c r="K56">
        <v>1</v>
      </c>
      <c r="L56">
        <v>0</v>
      </c>
      <c r="M56" s="3">
        <f xml:space="preserve">
58353.13397
+ 1.209015414*(C56)
+ 34.01462932*(D56)
+ 3047.928974*(E56)
+ 13439.3628*(F56)
- 12401.60265*(G56)
+ 1618.412705*(H56)
- 18491.87448*(I56)
+ 29382.28461*(J56)
+ 18098.25052*(K56)
+ 42659.1453*(L56)</f>
        <v>534737.73913312028</v>
      </c>
      <c r="N56">
        <f>B56-M56</f>
        <v>-47272.829133120307</v>
      </c>
    </row>
    <row r="57" spans="1:14">
      <c r="A57" t="s">
        <v>35</v>
      </c>
      <c r="B57">
        <v>463534.25</v>
      </c>
      <c r="C57">
        <v>53015.46</v>
      </c>
      <c r="D57">
        <v>3279</v>
      </c>
      <c r="E57">
        <v>84.3</v>
      </c>
      <c r="F57">
        <v>3.9</v>
      </c>
      <c r="G57">
        <v>0</v>
      </c>
      <c r="H57">
        <v>0</v>
      </c>
      <c r="I57">
        <v>0</v>
      </c>
      <c r="J57">
        <v>0</v>
      </c>
      <c r="K57">
        <v>1</v>
      </c>
      <c r="L57">
        <v>0</v>
      </c>
      <c r="M57" s="3">
        <f xml:space="preserve">
58353.13397
+ 1.209015414*(C57)
+ 34.01462932*(D57)
+ 3047.928974*(E57)
+ 13439.3628*(F57)
- 12401.60265*(G57)
+ 1618.412705*(H57)
- 18491.87448*(I57)
+ 29382.28461*(J57)
+ 18098.25052*(K57)
+ 42659.1453*(L57)</f>
        <v>561435.78977878042</v>
      </c>
      <c r="N57">
        <f>B57-M57</f>
        <v>-97901.539778780425</v>
      </c>
    </row>
    <row r="58" spans="1:14">
      <c r="A58" t="s">
        <v>36</v>
      </c>
      <c r="B58">
        <v>518049.26</v>
      </c>
      <c r="C58">
        <v>19365.060000000001</v>
      </c>
      <c r="D58">
        <v>2378</v>
      </c>
      <c r="E58">
        <v>94.8</v>
      </c>
      <c r="F58">
        <v>3.5</v>
      </c>
      <c r="G58">
        <v>0</v>
      </c>
      <c r="H58">
        <v>0</v>
      </c>
      <c r="I58">
        <v>1</v>
      </c>
      <c r="J58">
        <v>0</v>
      </c>
      <c r="K58">
        <v>0</v>
      </c>
      <c r="L58">
        <v>1</v>
      </c>
      <c r="M58" s="3">
        <f xml:space="preserve">
58353.13397
+ 1.209015414*(C58)
+ 34.01462932*(D58)
+ 3047.928974*(E58)
+ 13439.3628*(F58)
- 12401.60265*(G58)
+ 1618.412705*(H58)
- 18491.87448*(I58)
+ 29382.28461*(J58)
+ 18098.25052*(K58)
+ 42659.1453*(L58)</f>
        <v>522801.28588119481</v>
      </c>
      <c r="N58">
        <f>B58-M58</f>
        <v>-4752.0258811948006</v>
      </c>
    </row>
    <row r="59" spans="1:14">
      <c r="A59" t="s">
        <v>36</v>
      </c>
      <c r="B59">
        <v>500298.48</v>
      </c>
      <c r="C59">
        <v>59405.68</v>
      </c>
      <c r="D59">
        <v>2515</v>
      </c>
      <c r="E59">
        <v>76</v>
      </c>
      <c r="F59">
        <v>3.7</v>
      </c>
      <c r="G59">
        <v>0</v>
      </c>
      <c r="H59">
        <v>0</v>
      </c>
      <c r="I59">
        <v>1</v>
      </c>
      <c r="J59">
        <v>0</v>
      </c>
      <c r="K59">
        <v>0</v>
      </c>
      <c r="L59">
        <v>1</v>
      </c>
      <c r="M59" s="3">
        <f xml:space="preserve">
58353.13397
+ 1.209015414*(C59)
+ 34.01462932*(D59)
+ 3047.928974*(E59)
+ 13439.3628*(F59)
- 12401.60265*(G59)
+ 1618.412705*(H59)
- 18491.87448*(I59)
+ 29382.28461*(J59)
+ 18098.25052*(K59)
+ 42659.1453*(L59)</f>
        <v>521257.82471295149</v>
      </c>
      <c r="N59">
        <f>B59-M59</f>
        <v>-20959.344712951512</v>
      </c>
    </row>
    <row r="60" spans="1:14">
      <c r="A60" t="s">
        <v>36</v>
      </c>
      <c r="B60">
        <v>617291.15</v>
      </c>
      <c r="C60">
        <v>118910.48</v>
      </c>
      <c r="D60">
        <v>4022</v>
      </c>
      <c r="E60">
        <v>87.1</v>
      </c>
      <c r="F60">
        <v>3.1</v>
      </c>
      <c r="G60">
        <v>0</v>
      </c>
      <c r="H60">
        <v>0</v>
      </c>
      <c r="I60">
        <v>1</v>
      </c>
      <c r="J60">
        <v>0</v>
      </c>
      <c r="K60">
        <v>0</v>
      </c>
      <c r="L60">
        <v>1</v>
      </c>
      <c r="M60" s="3">
        <f xml:space="preserve">
58353.13397
+ 1.209015414*(C60)
+ 34.01462932*(D60)
+ 3047.928974*(E60)
+ 13439.3628*(F60)
- 12401.60265*(G60)
+ 1618.412705*(H60)
- 18491.87448*(I60)
+ 29382.28461*(J60)
+ 18098.25052*(K60)
+ 42659.1453*(L60)</f>
        <v>670228.48543657863</v>
      </c>
      <c r="N60">
        <f>B60-M60</f>
        <v>-52937.335436578607</v>
      </c>
    </row>
    <row r="61" spans="1:14">
      <c r="A61" t="s">
        <v>36</v>
      </c>
      <c r="B61">
        <v>553756.43000000005</v>
      </c>
      <c r="C61">
        <v>52952.12</v>
      </c>
      <c r="D61">
        <v>4377</v>
      </c>
      <c r="E61">
        <v>88.6</v>
      </c>
      <c r="F61">
        <v>3.1</v>
      </c>
      <c r="G61">
        <v>0</v>
      </c>
      <c r="H61">
        <v>0</v>
      </c>
      <c r="I61">
        <v>1</v>
      </c>
      <c r="J61">
        <v>0</v>
      </c>
      <c r="K61">
        <v>0</v>
      </c>
      <c r="L61">
        <v>1</v>
      </c>
      <c r="M61" s="3">
        <f xml:space="preserve">
58353.13397
+ 1.209015414*(C61)
+ 34.01462932*(D61)
+ 3047.928974*(E61)
+ 13439.3628*(F61)
- 12401.60265*(G61)
+ 1618.412705*(H61)
- 18491.87448*(I61)
+ 29382.28461*(J61)
+ 18098.25052*(K61)
+ 42659.1453*(L61)</f>
        <v>607130.89838401764</v>
      </c>
      <c r="N61">
        <f>B61-M61</f>
        <v>-53374.468384017586</v>
      </c>
    </row>
    <row r="62" spans="1:14">
      <c r="A62" t="s">
        <v>37</v>
      </c>
      <c r="B62">
        <v>749559.71</v>
      </c>
      <c r="C62">
        <v>74907.98</v>
      </c>
      <c r="D62">
        <v>5306</v>
      </c>
      <c r="E62">
        <v>95.6</v>
      </c>
      <c r="F62">
        <v>3.7</v>
      </c>
      <c r="G62">
        <v>0</v>
      </c>
      <c r="H62">
        <v>1</v>
      </c>
      <c r="I62">
        <v>0</v>
      </c>
      <c r="J62">
        <v>0</v>
      </c>
      <c r="K62">
        <v>1</v>
      </c>
      <c r="L62">
        <v>0</v>
      </c>
      <c r="M62" s="3">
        <f xml:space="preserve">
58353.13397
+ 1.209015414*(C62)
+ 34.01462932*(D62)
+ 3047.928974*(E62)
+ 13439.3628*(F62)
- 12401.60265*(G62)
+ 1618.412705*(H62)
- 18491.87448*(I62)
+ 29382.28461*(J62)
+ 18098.25052*(K62)
+ 42659.1453*(L62)</f>
        <v>690223.97509292385</v>
      </c>
      <c r="N62">
        <f>B62-M62</f>
        <v>59335.734907076112</v>
      </c>
    </row>
    <row r="63" spans="1:14">
      <c r="A63" t="s">
        <v>37</v>
      </c>
      <c r="B63">
        <v>615966.48</v>
      </c>
      <c r="C63">
        <v>37284.660000000003</v>
      </c>
      <c r="D63">
        <v>3928</v>
      </c>
      <c r="E63">
        <v>86.5</v>
      </c>
      <c r="F63">
        <v>3.8</v>
      </c>
      <c r="G63">
        <v>0</v>
      </c>
      <c r="H63">
        <v>1</v>
      </c>
      <c r="I63">
        <v>0</v>
      </c>
      <c r="J63">
        <v>0</v>
      </c>
      <c r="K63">
        <v>1</v>
      </c>
      <c r="L63">
        <v>0</v>
      </c>
      <c r="M63" s="3">
        <f xml:space="preserve">
58353.13397
+ 1.209015414*(C63)
+ 34.01462932*(D63)
+ 3047.928974*(E63)
+ 13439.3628*(F63)
- 12401.60265*(G63)
+ 1618.412705*(H63)
- 18491.87448*(I63)
+ 29382.28461*(J63)
+ 18098.25052*(K63)
+ 42659.1453*(L63)</f>
        <v>571472.42470070929</v>
      </c>
      <c r="N63">
        <f>B63-M63</f>
        <v>44494.055299290689</v>
      </c>
    </row>
    <row r="64" spans="1:14">
      <c r="A64" t="s">
        <v>37</v>
      </c>
      <c r="B64">
        <v>761860.19</v>
      </c>
      <c r="C64">
        <v>74954.47</v>
      </c>
      <c r="D64">
        <v>6620</v>
      </c>
      <c r="E64">
        <v>91.1</v>
      </c>
      <c r="F64">
        <v>3.5</v>
      </c>
      <c r="G64">
        <v>0</v>
      </c>
      <c r="H64">
        <v>1</v>
      </c>
      <c r="I64">
        <v>0</v>
      </c>
      <c r="J64">
        <v>0</v>
      </c>
      <c r="K64">
        <v>1</v>
      </c>
      <c r="L64">
        <v>0</v>
      </c>
      <c r="M64" s="3">
        <f xml:space="preserve">
58353.13397
+ 1.209015414*(C64)
+ 34.01462932*(D64)
+ 3047.928974*(E64)
+ 13439.3628*(F64)
- 12401.60265*(G64)
+ 1618.412705*(H64)
- 18491.87448*(I64)
+ 29382.28461*(J64)
+ 18098.25052*(K64)
+ 42659.1453*(L64)</f>
        <v>718571.85220300057</v>
      </c>
      <c r="N64">
        <f>B64-M64</f>
        <v>43288.337796999374</v>
      </c>
    </row>
    <row r="65" spans="1:14">
      <c r="A65" t="s">
        <v>37</v>
      </c>
      <c r="B65">
        <v>572011.19999999995</v>
      </c>
      <c r="C65">
        <v>50343.19</v>
      </c>
      <c r="D65">
        <v>3845</v>
      </c>
      <c r="E65">
        <v>88.7</v>
      </c>
      <c r="F65">
        <v>3.3</v>
      </c>
      <c r="G65">
        <v>0</v>
      </c>
      <c r="H65">
        <v>1</v>
      </c>
      <c r="I65">
        <v>0</v>
      </c>
      <c r="J65">
        <v>0</v>
      </c>
      <c r="K65">
        <v>1</v>
      </c>
      <c r="L65">
        <v>0</v>
      </c>
      <c r="M65" s="3">
        <f xml:space="preserve">
58353.13397
+ 1.209015414*(C65)
+ 34.01462932*(D65)
+ 3047.928974*(E65)
+ 13439.3628*(F65)
- 12401.60265*(G65)
+ 1618.412705*(H65)
- 18491.87448*(I65)
+ 29382.28461*(J65)
+ 18098.25052*(K65)
+ 42659.1453*(L65)</f>
        <v>584422.93686413066</v>
      </c>
      <c r="N65">
        <f>B65-M65</f>
        <v>-12411.736864130711</v>
      </c>
    </row>
    <row r="66" spans="1:14">
      <c r="A66" t="s">
        <v>38</v>
      </c>
      <c r="B66">
        <v>740496.65</v>
      </c>
      <c r="C66">
        <v>42018.400000000001</v>
      </c>
      <c r="D66">
        <v>8296</v>
      </c>
      <c r="E66">
        <v>91.8</v>
      </c>
      <c r="F66">
        <v>3.4</v>
      </c>
      <c r="G66">
        <v>0</v>
      </c>
      <c r="H66">
        <v>0</v>
      </c>
      <c r="I66">
        <v>0</v>
      </c>
      <c r="J66">
        <v>0</v>
      </c>
      <c r="K66">
        <v>1</v>
      </c>
      <c r="L66">
        <v>0</v>
      </c>
      <c r="M66" s="3">
        <f xml:space="preserve">
58353.13397
+ 1.209015414*(C66)
+ 34.01462932*(D66)
+ 3047.928974*(E66)
+ 13439.3628*(F66)
- 12401.60265*(G66)
+ 1618.412705*(H66)
- 18491.87448*(I66)
+ 29382.28461*(J66)
+ 18098.25052*(K66)
+ 42659.1453*(L66)</f>
        <v>734931.35593353759</v>
      </c>
      <c r="N66">
        <f>B66-M66</f>
        <v>5565.294066462433</v>
      </c>
    </row>
    <row r="67" spans="1:14">
      <c r="A67" t="s">
        <v>38</v>
      </c>
      <c r="B67">
        <v>717141.55</v>
      </c>
      <c r="C67">
        <v>51148.69</v>
      </c>
      <c r="D67">
        <v>7940</v>
      </c>
      <c r="E67">
        <v>93.3</v>
      </c>
      <c r="F67">
        <v>3.6</v>
      </c>
      <c r="G67">
        <v>0</v>
      </c>
      <c r="H67">
        <v>0</v>
      </c>
      <c r="I67">
        <v>0</v>
      </c>
      <c r="J67">
        <v>0</v>
      </c>
      <c r="K67">
        <v>1</v>
      </c>
      <c r="L67">
        <v>0</v>
      </c>
      <c r="M67" s="3">
        <f xml:space="preserve">
58353.13397
+ 1.209015414*(C67)
+ 34.01462932*(D67)
+ 3047.928974*(E67)
+ 13439.3628*(F67)
- 12401.60265*(G67)
+ 1618.412705*(H67)
- 18491.87448*(I67)
+ 29382.28461*(J67)
+ 18098.25052*(K67)
+ 42659.1453*(L67)</f>
        <v>741120.57526090776</v>
      </c>
      <c r="N67">
        <f>B67-M67</f>
        <v>-23979.025260907714</v>
      </c>
    </row>
    <row r="68" spans="1:14">
      <c r="A68" t="s">
        <v>38</v>
      </c>
      <c r="B68">
        <v>784502.68</v>
      </c>
      <c r="C68">
        <v>70040.31</v>
      </c>
      <c r="D68">
        <v>9175</v>
      </c>
      <c r="E68">
        <v>95.1</v>
      </c>
      <c r="F68">
        <v>3.4</v>
      </c>
      <c r="G68">
        <v>0</v>
      </c>
      <c r="H68">
        <v>0</v>
      </c>
      <c r="I68">
        <v>0</v>
      </c>
      <c r="J68">
        <v>0</v>
      </c>
      <c r="K68">
        <v>1</v>
      </c>
      <c r="L68">
        <v>0</v>
      </c>
      <c r="M68" s="3">
        <f xml:space="preserve">
58353.13397
+ 1.209015414*(C68)
+ 34.01462932*(D68)
+ 3047.928974*(E68)
+ 13439.3628*(F68)
- 12401.60265*(G68)
+ 1618.412705*(H68)
- 18491.87448*(I68)
+ 29382.28461*(J68)
+ 18098.25052*(K68)
+ 42659.1453*(L68)</f>
        <v>808767.30183973827</v>
      </c>
      <c r="N68">
        <f>B68-M68</f>
        <v>-24264.621839738218</v>
      </c>
    </row>
    <row r="69" spans="1:14">
      <c r="A69" t="s">
        <v>38</v>
      </c>
      <c r="B69">
        <v>685379.08</v>
      </c>
      <c r="C69">
        <v>79346.100000000006</v>
      </c>
      <c r="D69">
        <v>9628</v>
      </c>
      <c r="E69">
        <v>99</v>
      </c>
      <c r="F69">
        <v>3.2</v>
      </c>
      <c r="G69">
        <v>0</v>
      </c>
      <c r="H69">
        <v>0</v>
      </c>
      <c r="I69">
        <v>0</v>
      </c>
      <c r="J69">
        <v>0</v>
      </c>
      <c r="K69">
        <v>1</v>
      </c>
      <c r="L69">
        <v>0</v>
      </c>
      <c r="M69" s="3">
        <f xml:space="preserve">
58353.13397
+ 1.209015414*(C69)
+ 34.01462932*(D69)
+ 3047.928974*(E69)
+ 13439.3628*(F69)
- 12401.60265*(G69)
+ 1618.412705*(H69)
- 18491.87448*(I69)
+ 29382.28461*(J69)
+ 18098.25052*(K69)
+ 42659.1453*(L69)</f>
        <v>844625.82290974539</v>
      </c>
      <c r="N69">
        <f>B69-M69</f>
        <v>-159246.74290974543</v>
      </c>
    </row>
    <row r="70" spans="1:14">
      <c r="A70" t="s">
        <v>39</v>
      </c>
      <c r="B70">
        <v>661927.14</v>
      </c>
      <c r="C70">
        <v>70937.240000000005</v>
      </c>
      <c r="D70">
        <v>3595</v>
      </c>
      <c r="E70">
        <v>88.9</v>
      </c>
      <c r="F70">
        <v>3.3</v>
      </c>
      <c r="G70">
        <v>0</v>
      </c>
      <c r="H70">
        <v>0</v>
      </c>
      <c r="I70">
        <v>1</v>
      </c>
      <c r="J70">
        <v>0</v>
      </c>
      <c r="K70">
        <v>1</v>
      </c>
      <c r="L70">
        <v>0</v>
      </c>
      <c r="M70" s="3">
        <f xml:space="preserve">
58353.13397
+ 1.209015414*(C70)
+ 34.01462932*(D70)
+ 3047.928974*(E70)
+ 13439.3628*(F70)
- 12401.60265*(G70)
+ 1618.412705*(H70)
- 18491.87448*(I70)
+ 29382.28461*(J70)
+ 18098.25052*(K70)
+ 42659.1453*(L70)</f>
        <v>581317.1020306173</v>
      </c>
      <c r="N70">
        <f>B70-M70</f>
        <v>80610.037969382713</v>
      </c>
    </row>
    <row r="71" spans="1:14">
      <c r="A71" t="s">
        <v>39</v>
      </c>
      <c r="B71">
        <v>674774.09</v>
      </c>
      <c r="C71">
        <v>55081.16</v>
      </c>
      <c r="D71">
        <v>5485</v>
      </c>
      <c r="E71">
        <v>88</v>
      </c>
      <c r="F71">
        <v>3.5</v>
      </c>
      <c r="G71">
        <v>0</v>
      </c>
      <c r="H71">
        <v>0</v>
      </c>
      <c r="I71">
        <v>1</v>
      </c>
      <c r="J71">
        <v>0</v>
      </c>
      <c r="K71">
        <v>1</v>
      </c>
      <c r="L71">
        <v>0</v>
      </c>
      <c r="M71" s="3">
        <f xml:space="preserve">
58353.13397
+ 1.209015414*(C71)
+ 34.01462932*(D71)
+ 3047.928974*(E71)
+ 13439.3628*(F71)
- 12401.60265*(G71)
+ 1618.412705*(H71)
- 18491.87448*(I71)
+ 29382.28461*(J71)
+ 18098.25052*(K71)
+ 42659.1453*(L71)</f>
        <v>626379.24280320026</v>
      </c>
      <c r="N71">
        <f>B71-M71</f>
        <v>48394.847196799703</v>
      </c>
    </row>
    <row r="72" spans="1:14">
      <c r="A72" t="s">
        <v>39</v>
      </c>
      <c r="B72">
        <v>605023.87</v>
      </c>
      <c r="C72">
        <v>60571.82</v>
      </c>
      <c r="D72">
        <v>3193</v>
      </c>
      <c r="E72">
        <v>99</v>
      </c>
      <c r="F72">
        <v>3.2</v>
      </c>
      <c r="G72">
        <v>0</v>
      </c>
      <c r="H72">
        <v>0</v>
      </c>
      <c r="I72">
        <v>1</v>
      </c>
      <c r="J72">
        <v>0</v>
      </c>
      <c r="K72">
        <v>1</v>
      </c>
      <c r="L72">
        <v>0</v>
      </c>
      <c r="M72" s="3">
        <f xml:space="preserve">
58353.13397
+ 1.209015414*(C72)
+ 34.01462932*(D72)
+ 3047.928974*(E72)
+ 13439.3628*(F72)
- 12401.60265*(G72)
+ 1618.412705*(H72)
- 18491.87448*(I72)
+ 29382.28461*(J72)
+ 18098.25052*(K72)
+ 42659.1453*(L72)</f>
        <v>584551.41484879353</v>
      </c>
      <c r="N72">
        <f>B72-M72</f>
        <v>20472.455151206465</v>
      </c>
    </row>
    <row r="73" spans="1:14">
      <c r="A73" t="s">
        <v>39</v>
      </c>
      <c r="B73">
        <v>479050.5</v>
      </c>
      <c r="C73">
        <v>36813.449999999997</v>
      </c>
      <c r="D73">
        <v>2834</v>
      </c>
      <c r="E73">
        <v>81.8</v>
      </c>
      <c r="F73">
        <v>3.3</v>
      </c>
      <c r="G73">
        <v>0</v>
      </c>
      <c r="H73">
        <v>0</v>
      </c>
      <c r="I73">
        <v>1</v>
      </c>
      <c r="J73">
        <v>0</v>
      </c>
      <c r="K73">
        <v>1</v>
      </c>
      <c r="L73">
        <v>0</v>
      </c>
      <c r="M73" s="3">
        <f xml:space="preserve">
58353.13397
+ 1.209015414*(C73)
+ 34.01462932*(D73)
+ 3047.928974*(E73)
+ 13439.3628*(F73)
- 12401.60265*(G73)
+ 1618.412705*(H73)
- 18491.87448*(I73)
+ 29382.28461*(J73)
+ 18098.25052*(K73)
+ 42659.1453*(L73)</f>
        <v>492535.48530859832</v>
      </c>
      <c r="N73">
        <f>B73-M73</f>
        <v>-13484.98530859832</v>
      </c>
    </row>
    <row r="74" spans="1:14">
      <c r="A74" t="s">
        <v>40</v>
      </c>
      <c r="B74">
        <v>788087.68</v>
      </c>
      <c r="C74">
        <v>70144.78</v>
      </c>
      <c r="D74">
        <v>6806</v>
      </c>
      <c r="E74">
        <v>93.1</v>
      </c>
      <c r="F74">
        <v>4.3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  <c r="M74" s="3">
        <f xml:space="preserve">
58353.13397
+ 1.209015414*(C74)
+ 34.01462932*(D74)
+ 3047.928974*(E74)
+ 13439.3628*(F74)
- 12401.60265*(G74)
+ 1618.412705*(H74)
- 18491.87448*(I74)
+ 29382.28461*(J74)
+ 18098.25052*(K74)
+ 42659.1453*(L74)</f>
        <v>697722.39439295884</v>
      </c>
      <c r="N74">
        <f>B74-M74</f>
        <v>90365.285607041209</v>
      </c>
    </row>
    <row r="75" spans="1:14">
      <c r="A75" t="s">
        <v>40</v>
      </c>
      <c r="B75">
        <v>616069.41</v>
      </c>
      <c r="C75">
        <v>46201.46</v>
      </c>
      <c r="D75">
        <v>5918</v>
      </c>
      <c r="E75">
        <v>78.8</v>
      </c>
      <c r="F75">
        <v>4.5</v>
      </c>
      <c r="G75">
        <v>0</v>
      </c>
      <c r="H75">
        <v>0</v>
      </c>
      <c r="I75">
        <v>1</v>
      </c>
      <c r="J75">
        <v>0</v>
      </c>
      <c r="K75">
        <v>0</v>
      </c>
      <c r="L75">
        <v>0</v>
      </c>
      <c r="M75" s="3">
        <f xml:space="preserve">
58353.13397
+ 1.209015414*(C75)
+ 34.01462932*(D75)
+ 3047.928974*(E75)
+ 13439.3628*(F75)
- 12401.60265*(G75)
+ 1618.412705*(H75)
- 18491.87448*(I75)
+ 29382.28461*(J75)
+ 18098.25052*(K75)
+ 42659.1453*(L75)</f>
        <v>597672.04884626437</v>
      </c>
      <c r="N75">
        <f>B75-M75</f>
        <v>18397.361153735663</v>
      </c>
    </row>
    <row r="76" spans="1:14">
      <c r="A76" t="s">
        <v>40</v>
      </c>
      <c r="B76">
        <v>680840.36</v>
      </c>
      <c r="C76">
        <v>58749.63</v>
      </c>
      <c r="D76">
        <v>8252</v>
      </c>
      <c r="E76">
        <v>85.2</v>
      </c>
      <c r="F76">
        <v>4.5</v>
      </c>
      <c r="G76">
        <v>0</v>
      </c>
      <c r="H76">
        <v>0</v>
      </c>
      <c r="I76">
        <v>1</v>
      </c>
      <c r="J76">
        <v>0</v>
      </c>
      <c r="K76">
        <v>0</v>
      </c>
      <c r="L76">
        <v>0</v>
      </c>
      <c r="M76" s="3">
        <f xml:space="preserve">
58353.13397
+ 1.209015414*(C76)
+ 34.01462932*(D76)
+ 3047.928974*(E76)
+ 13439.3628*(F76)
- 12401.60265*(G76)
+ 1618.412705*(H76)
- 18491.87448*(I76)
+ 29382.28461*(J76)
+ 18098.25052*(K76)
+ 42659.1453*(L76)</f>
        <v>711739.87006023678</v>
      </c>
      <c r="N76">
        <f>B76-M76</f>
        <v>-30899.510060236789</v>
      </c>
    </row>
    <row r="77" spans="1:14">
      <c r="A77" t="s">
        <v>40</v>
      </c>
      <c r="B77">
        <v>630829.93999999994</v>
      </c>
      <c r="C77">
        <v>53762.92</v>
      </c>
      <c r="D77">
        <v>6821</v>
      </c>
      <c r="E77">
        <v>94.6</v>
      </c>
      <c r="F77">
        <v>4.4000000000000004</v>
      </c>
      <c r="G77">
        <v>0</v>
      </c>
      <c r="H77">
        <v>0</v>
      </c>
      <c r="I77">
        <v>1</v>
      </c>
      <c r="J77">
        <v>0</v>
      </c>
      <c r="K77">
        <v>0</v>
      </c>
      <c r="L77">
        <v>0</v>
      </c>
      <c r="M77" s="3">
        <f xml:space="preserve">
58353.13397
+ 1.209015414*(C77)
+ 34.01462932*(D77)
+ 3047.928974*(E77)
+ 13439.3628*(F77)
- 12401.60265*(G77)
+ 1618.412705*(H77)
- 18491.87448*(I77)
+ 29382.28461*(J77)
+ 18098.25052*(K77)
+ 42659.1453*(L77)</f>
        <v>684342.52232376882</v>
      </c>
      <c r="N77">
        <f>B77-M77</f>
        <v>-53512.582323768875</v>
      </c>
    </row>
    <row r="78" spans="1:14">
      <c r="A78" t="s">
        <v>41</v>
      </c>
      <c r="B78">
        <v>776922.17</v>
      </c>
      <c r="C78">
        <v>80562.81</v>
      </c>
      <c r="D78">
        <v>7470</v>
      </c>
      <c r="E78">
        <v>83.5</v>
      </c>
      <c r="F78">
        <v>3.3</v>
      </c>
      <c r="G78">
        <v>0</v>
      </c>
      <c r="H78">
        <v>1</v>
      </c>
      <c r="I78">
        <v>0</v>
      </c>
      <c r="J78">
        <v>0</v>
      </c>
      <c r="K78">
        <v>1</v>
      </c>
      <c r="L78">
        <v>0</v>
      </c>
      <c r="M78" s="3">
        <f xml:space="preserve">
58353.13397
+ 1.209015414*(C78)
+ 34.01462932*(D78)
+ 3047.928974*(E78)
+ 13439.3628*(F78)
- 12401.60265*(G78)
+ 1618.412705*(H78)
- 18491.87448*(I78)
+ 29382.28461*(J78)
+ 18098.25052*(K78)
+ 42659.1453*(L78)</f>
        <v>728412.7238695533</v>
      </c>
      <c r="N78">
        <f>B78-M78</f>
        <v>48509.44613044674</v>
      </c>
    </row>
    <row r="79" spans="1:14">
      <c r="A79" t="s">
        <v>41</v>
      </c>
      <c r="B79">
        <v>691112.6</v>
      </c>
      <c r="C79">
        <v>54872.82</v>
      </c>
      <c r="D79">
        <v>5962</v>
      </c>
      <c r="E79">
        <v>85.4</v>
      </c>
      <c r="F79">
        <v>2.9</v>
      </c>
      <c r="G79">
        <v>0</v>
      </c>
      <c r="H79">
        <v>1</v>
      </c>
      <c r="I79">
        <v>0</v>
      </c>
      <c r="J79">
        <v>0</v>
      </c>
      <c r="K79">
        <v>1</v>
      </c>
      <c r="L79">
        <v>0</v>
      </c>
      <c r="M79" s="3">
        <f xml:space="preserve">
58353.13397
+ 1.209015414*(C79)
+ 34.01462932*(D79)
+ 3047.928974*(E79)
+ 13439.3628*(F79)
- 12401.60265*(G79)
+ 1618.412705*(H79)
- 18491.87448*(I79)
+ 29382.28461*(J79)
+ 18098.25052*(K79)
+ 42659.1453*(L79)</f>
        <v>646474.38889008737</v>
      </c>
      <c r="N79">
        <f>B79-M79</f>
        <v>44638.211109912605</v>
      </c>
    </row>
    <row r="80" spans="1:14">
      <c r="A80" t="s">
        <v>41</v>
      </c>
      <c r="B80">
        <v>643657.47</v>
      </c>
      <c r="C80">
        <v>56973.18</v>
      </c>
      <c r="D80">
        <v>6662</v>
      </c>
      <c r="E80">
        <v>77.7</v>
      </c>
      <c r="F80">
        <v>3.2</v>
      </c>
      <c r="G80">
        <v>0</v>
      </c>
      <c r="H80">
        <v>1</v>
      </c>
      <c r="I80">
        <v>0</v>
      </c>
      <c r="J80">
        <v>0</v>
      </c>
      <c r="K80">
        <v>1</v>
      </c>
      <c r="L80">
        <v>0</v>
      </c>
      <c r="M80" s="3">
        <f xml:space="preserve">
58353.13397
+ 1.209015414*(C80)
+ 34.01462932*(D80)
+ 3047.928974*(E80)
+ 13439.3628*(F80)
- 12401.60265*(G80)
+ 1618.412705*(H80)
- 18491.87448*(I80)
+ 29382.28461*(J80)
+ 18098.25052*(K80)
+ 42659.1453*(L80)</f>
        <v>653386.75276923657</v>
      </c>
      <c r="N80">
        <f>B80-M80</f>
        <v>-9729.2827692365972</v>
      </c>
    </row>
    <row r="81" spans="1:14">
      <c r="A81" t="s">
        <v>41</v>
      </c>
      <c r="B81">
        <v>636561.34</v>
      </c>
      <c r="C81">
        <v>77999.899999999994</v>
      </c>
      <c r="D81">
        <v>5974</v>
      </c>
      <c r="E81">
        <v>81.3</v>
      </c>
      <c r="F81">
        <v>3.2</v>
      </c>
      <c r="G81">
        <v>0</v>
      </c>
      <c r="H81">
        <v>1</v>
      </c>
      <c r="I81">
        <v>0</v>
      </c>
      <c r="J81">
        <v>0</v>
      </c>
      <c r="K81">
        <v>1</v>
      </c>
      <c r="L81">
        <v>0</v>
      </c>
      <c r="M81" s="3">
        <f xml:space="preserve">
58353.13397
+ 1.209015414*(C81)
+ 34.01462932*(D81)
+ 3047.928974*(E81)
+ 13439.3628*(F81)
- 12401.60265*(G81)
+ 1618.412705*(H81)
- 18491.87448*(I81)
+ 29382.28461*(J81)
+ 18098.25052*(K81)
+ 42659.1453*(L81)</f>
        <v>666378.86068933865</v>
      </c>
      <c r="N81">
        <f>B81-M81</f>
        <v>-29817.520689338678</v>
      </c>
    </row>
    <row r="82" spans="1:14">
      <c r="A82" t="s">
        <v>42</v>
      </c>
      <c r="B82">
        <v>727241.86</v>
      </c>
      <c r="C82">
        <v>72731.14</v>
      </c>
      <c r="D82">
        <v>4644</v>
      </c>
      <c r="E82">
        <v>87.1</v>
      </c>
      <c r="F82">
        <v>4.5999999999999996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 s="3">
        <f xml:space="preserve">
58353.13397
+ 1.209015414*(C82)
+ 34.01462932*(D82)
+ 3047.928974*(E82)
+ 13439.3628*(F82)
- 12401.60265*(G82)
+ 1618.412705*(H82)
- 18491.87448*(I82)
+ 29382.28461*(J82)
+ 18098.25052*(K82)
+ 42659.1453*(L82)</f>
        <v>660928.10899527196</v>
      </c>
      <c r="N82">
        <f>B82-M82</f>
        <v>66313.751004728023</v>
      </c>
    </row>
    <row r="83" spans="1:14">
      <c r="A83" t="s">
        <v>42</v>
      </c>
      <c r="B83">
        <v>682208.01</v>
      </c>
      <c r="C83">
        <v>60628.38</v>
      </c>
      <c r="D83">
        <v>4451</v>
      </c>
      <c r="E83">
        <v>89.6</v>
      </c>
      <c r="F83">
        <v>4.5999999999999996</v>
      </c>
      <c r="G83">
        <v>0</v>
      </c>
      <c r="H83">
        <v>0</v>
      </c>
      <c r="I83">
        <v>0</v>
      </c>
      <c r="J83">
        <v>1</v>
      </c>
      <c r="K83">
        <v>0</v>
      </c>
      <c r="L83">
        <v>0</v>
      </c>
      <c r="M83" s="3">
        <f xml:space="preserve">
58353.13397
+ 1.209015414*(C83)
+ 34.01462932*(D83)
+ 3047.928974*(E83)
+ 13439.3628*(F83)
- 12401.60265*(G83)
+ 1618.412705*(H83)
- 18491.87448*(I83)
+ 29382.28461*(J83)
+ 18098.25052*(K83)
+ 42659.1453*(L83)</f>
        <v>647350.68457956926</v>
      </c>
      <c r="N83">
        <f>B83-M83</f>
        <v>34857.325420430745</v>
      </c>
    </row>
    <row r="84" spans="1:14">
      <c r="A84" t="s">
        <v>42</v>
      </c>
      <c r="B84">
        <v>569100.78</v>
      </c>
      <c r="C84">
        <v>36475.71</v>
      </c>
      <c r="D84">
        <v>3559</v>
      </c>
      <c r="E84">
        <v>83.6</v>
      </c>
      <c r="F84">
        <v>4.2</v>
      </c>
      <c r="G84">
        <v>0</v>
      </c>
      <c r="H84">
        <v>0</v>
      </c>
      <c r="I84">
        <v>0</v>
      </c>
      <c r="J84">
        <v>1</v>
      </c>
      <c r="K84">
        <v>0</v>
      </c>
      <c r="L84">
        <v>0</v>
      </c>
      <c r="M84" s="3">
        <f xml:space="preserve">
58353.13397
+ 1.209015414*(C84)
+ 34.01462932*(D84)
+ 3047.928974*(E84)
+ 13439.3628*(F84)
- 12401.60265*(G84)
+ 1618.412705*(H84)
- 18491.87448*(I84)
+ 29382.28461*(J84)
+ 18098.25052*(K84)
+ 42659.1453*(L84)</f>
        <v>564145.36594287388</v>
      </c>
      <c r="N84">
        <f>B84-M84</f>
        <v>4955.4140571261523</v>
      </c>
    </row>
    <row r="85" spans="1:14">
      <c r="A85" t="s">
        <v>42</v>
      </c>
      <c r="B85">
        <v>621369.57999999996</v>
      </c>
      <c r="C85">
        <v>60881.01</v>
      </c>
      <c r="D85">
        <v>5410</v>
      </c>
      <c r="E85">
        <v>83.9</v>
      </c>
      <c r="F85">
        <v>4.5999999999999996</v>
      </c>
      <c r="G85">
        <v>0</v>
      </c>
      <c r="H85">
        <v>0</v>
      </c>
      <c r="I85">
        <v>0</v>
      </c>
      <c r="J85">
        <v>1</v>
      </c>
      <c r="K85">
        <v>0</v>
      </c>
      <c r="L85">
        <v>0</v>
      </c>
      <c r="M85" s="3">
        <f xml:space="preserve">
58353.13397
+ 1.209015414*(C85)
+ 34.01462932*(D85)
+ 3047.928974*(E85)
+ 13439.3628*(F85)
- 12401.60265*(G85)
+ 1618.412705*(H85)
- 18491.87448*(I85)
+ 29382.28461*(J85)
+ 18098.25052*(K85)
+ 42659.1453*(L85)</f>
        <v>662902.9525096881</v>
      </c>
      <c r="N85">
        <f>B85-M85</f>
        <v>-41533.372509688139</v>
      </c>
    </row>
    <row r="86" spans="1:14">
      <c r="A86" t="s">
        <v>43</v>
      </c>
      <c r="B86">
        <v>574436.29</v>
      </c>
      <c r="C86">
        <v>55388.11</v>
      </c>
      <c r="D86">
        <v>3091</v>
      </c>
      <c r="E86">
        <v>85.4</v>
      </c>
      <c r="F86">
        <v>4.9000000000000004</v>
      </c>
      <c r="G86">
        <v>0</v>
      </c>
      <c r="H86">
        <v>0</v>
      </c>
      <c r="I86">
        <v>0</v>
      </c>
      <c r="J86">
        <v>0</v>
      </c>
      <c r="K86">
        <v>1</v>
      </c>
      <c r="L86">
        <v>0</v>
      </c>
      <c r="M86" s="3">
        <f xml:space="preserve">
58353.13397
+ 1.209015414*(C86)
+ 34.01462932*(D86)
+ 3047.928974*(E86)
+ 13439.3628*(F86)
- 12401.60265*(G86)
+ 1618.412705*(H86)
- 18491.87448*(I86)
+ 29382.28461*(J86)
+ 18098.25052*(K86)
+ 42659.1453*(L86)</f>
        <v>574701.69456004759</v>
      </c>
      <c r="N86">
        <f>B86-M86</f>
        <v>-265.40456004755106</v>
      </c>
    </row>
    <row r="87" spans="1:14">
      <c r="A87" t="s">
        <v>43</v>
      </c>
      <c r="B87">
        <v>614596.31999999995</v>
      </c>
      <c r="C87">
        <v>78231.91</v>
      </c>
      <c r="D87">
        <v>3788</v>
      </c>
      <c r="E87">
        <v>88.5</v>
      </c>
      <c r="F87">
        <v>4.3</v>
      </c>
      <c r="G87">
        <v>0</v>
      </c>
      <c r="H87">
        <v>0</v>
      </c>
      <c r="I87">
        <v>0</v>
      </c>
      <c r="J87">
        <v>0</v>
      </c>
      <c r="K87">
        <v>1</v>
      </c>
      <c r="L87">
        <v>0</v>
      </c>
      <c r="M87" s="3">
        <f xml:space="preserve">
58353.13397
+ 1.209015414*(C87)
+ 34.01462932*(D87)
+ 3047.928974*(E87)
+ 13439.3628*(F87)
- 12401.60265*(G87)
+ 1618.412705*(H87)
- 18491.87448*(I87)
+ 29382.28461*(J87)
+ 18098.25052*(K87)
+ 42659.1453*(L87)</f>
        <v>627413.3596498206</v>
      </c>
      <c r="N87">
        <f>B87-M87</f>
        <v>-12817.039649820654</v>
      </c>
    </row>
    <row r="88" spans="1:14">
      <c r="A88" t="s">
        <v>43</v>
      </c>
      <c r="B88">
        <v>450711.92</v>
      </c>
      <c r="C88">
        <v>18996.32</v>
      </c>
      <c r="D88">
        <v>1260</v>
      </c>
      <c r="E88">
        <v>86.4</v>
      </c>
      <c r="F88">
        <v>4.5999999999999996</v>
      </c>
      <c r="G88">
        <v>0</v>
      </c>
      <c r="H88">
        <v>0</v>
      </c>
      <c r="I88">
        <v>0</v>
      </c>
      <c r="J88">
        <v>0</v>
      </c>
      <c r="K88">
        <v>1</v>
      </c>
      <c r="L88">
        <v>0</v>
      </c>
      <c r="M88" s="3">
        <f xml:space="preserve">
58353.13397
+ 1.209015414*(C88)
+ 34.01462932*(D88)
+ 3047.928974*(E88)
+ 13439.3628*(F88)
- 12401.60265*(G88)
+ 1618.412705*(H88)
- 18491.87448*(I88)
+ 29382.28461*(J88)
+ 18098.25052*(K88)
+ 42659.1453*(L88)</f>
        <v>467438.79335607652</v>
      </c>
      <c r="N88">
        <f>B88-M88</f>
        <v>-16726.873356076539</v>
      </c>
    </row>
    <row r="89" spans="1:14">
      <c r="A89" t="s">
        <v>43</v>
      </c>
      <c r="B89">
        <v>611766.72</v>
      </c>
      <c r="C89">
        <v>88443.77</v>
      </c>
      <c r="D89">
        <v>4004</v>
      </c>
      <c r="E89">
        <v>91.9</v>
      </c>
      <c r="F89">
        <v>3.9246794871794881</v>
      </c>
      <c r="G89">
        <v>0</v>
      </c>
      <c r="H89">
        <v>0</v>
      </c>
      <c r="I89">
        <v>0</v>
      </c>
      <c r="J89">
        <v>0</v>
      </c>
      <c r="K89">
        <v>1</v>
      </c>
      <c r="L89">
        <v>0</v>
      </c>
      <c r="M89" s="3">
        <f xml:space="preserve">
58353.13397
+ 1.209015414*(C89)
+ 34.01462932*(D89)
+ 3047.928974*(E89)
+ 13439.3628*(F89)
- 12401.60265*(G89)
+ 1618.412705*(H89)
- 18491.87448*(I89)
+ 29382.28461*(J89)
+ 18098.25052*(K89)
+ 42659.1453*(L89)</f>
        <v>652425.70570207387</v>
      </c>
      <c r="N89">
        <f>B89-M89</f>
        <v>-40658.9857020739</v>
      </c>
    </row>
    <row r="90" spans="1:14">
      <c r="A90" t="s">
        <v>44</v>
      </c>
      <c r="B90">
        <v>711213.46</v>
      </c>
      <c r="C90">
        <v>50517.94</v>
      </c>
      <c r="D90">
        <v>7024</v>
      </c>
      <c r="E90">
        <v>79.2</v>
      </c>
      <c r="F90">
        <v>4.0999999999999996</v>
      </c>
      <c r="G90">
        <v>0</v>
      </c>
      <c r="H90">
        <v>1</v>
      </c>
      <c r="I90">
        <v>0</v>
      </c>
      <c r="J90">
        <v>1</v>
      </c>
      <c r="K90">
        <v>0</v>
      </c>
      <c r="L90">
        <v>0</v>
      </c>
      <c r="M90" s="3">
        <f xml:space="preserve">
58353.13397
+ 1.209015414*(C90)
+ 34.01462932*(D90)
+ 3047.928974*(E90)
+ 13439.3628*(F90)
- 12401.60265*(G90)
+ 1618.412705*(H90)
- 18491.87448*(I90)
+ 29382.28461*(J90)
+ 18098.25052*(K90)
+ 42659.1453*(L90)</f>
        <v>685846.91799300711</v>
      </c>
      <c r="N90">
        <f>B90-M90</f>
        <v>25366.542006992851</v>
      </c>
    </row>
    <row r="91" spans="1:14">
      <c r="A91" t="s">
        <v>44</v>
      </c>
      <c r="B91">
        <v>586307.22</v>
      </c>
      <c r="C91">
        <v>31207.51</v>
      </c>
      <c r="D91">
        <v>3701</v>
      </c>
      <c r="E91">
        <v>84.7</v>
      </c>
      <c r="F91">
        <v>4.3</v>
      </c>
      <c r="G91">
        <v>0</v>
      </c>
      <c r="H91">
        <v>1</v>
      </c>
      <c r="I91">
        <v>0</v>
      </c>
      <c r="J91">
        <v>1</v>
      </c>
      <c r="K91">
        <v>0</v>
      </c>
      <c r="L91">
        <v>0</v>
      </c>
      <c r="M91" s="3">
        <f xml:space="preserve">
58353.13397
+ 1.209015414*(C91)
+ 34.01462932*(D91)
+ 3047.928974*(E91)
+ 13439.3628*(F91)
- 12401.60265*(G91)
+ 1618.412705*(H91)
- 18491.87448*(I91)
+ 29382.28461*(J91)
+ 18098.25052*(K91)
+ 42659.1453*(L91)</f>
        <v>568921.17915867909</v>
      </c>
      <c r="N91">
        <f>B91-M91</f>
        <v>17386.040841320879</v>
      </c>
    </row>
    <row r="92" spans="1:14">
      <c r="A92" t="s">
        <v>44</v>
      </c>
      <c r="B92">
        <v>739852.58</v>
      </c>
      <c r="C92">
        <v>82116.19</v>
      </c>
      <c r="D92">
        <v>5988</v>
      </c>
      <c r="E92">
        <v>91.8</v>
      </c>
      <c r="F92">
        <v>4.7</v>
      </c>
      <c r="G92">
        <v>0</v>
      </c>
      <c r="H92">
        <v>1</v>
      </c>
      <c r="I92">
        <v>0</v>
      </c>
      <c r="J92">
        <v>1</v>
      </c>
      <c r="K92">
        <v>0</v>
      </c>
      <c r="L92">
        <v>0</v>
      </c>
      <c r="M92" s="3">
        <f xml:space="preserve">
58353.13397
+ 1.209015414*(C92)
+ 34.01462932*(D92)
+ 3047.928974*(E92)
+ 13439.3628*(F92)
- 12401.60265*(G92)
+ 1618.412705*(H92)
- 18491.87448*(I92)
+ 29382.28461*(J92)
+ 18098.25052*(K92)
+ 42659.1453*(L92)</f>
        <v>735278.05607531266</v>
      </c>
      <c r="N92">
        <f>B92-M92</f>
        <v>4574.5239246872952</v>
      </c>
    </row>
    <row r="93" spans="1:14">
      <c r="A93" t="s">
        <v>44</v>
      </c>
      <c r="B93">
        <v>627171.9</v>
      </c>
      <c r="C93">
        <v>141540.29</v>
      </c>
      <c r="D93">
        <v>5400</v>
      </c>
      <c r="E93">
        <v>87</v>
      </c>
      <c r="F93">
        <v>4.5</v>
      </c>
      <c r="G93">
        <v>0</v>
      </c>
      <c r="H93">
        <v>1</v>
      </c>
      <c r="I93">
        <v>0</v>
      </c>
      <c r="J93">
        <v>1</v>
      </c>
      <c r="K93">
        <v>0</v>
      </c>
      <c r="L93">
        <v>0</v>
      </c>
      <c r="M93" s="3">
        <f xml:space="preserve">
58353.13397
+ 1.209015414*(C93)
+ 34.01462932*(D93)
+ 3047.928974*(E93)
+ 13439.3628*(F93)
- 12401.60265*(G93)
+ 1618.412705*(H93)
- 18491.87448*(I93)
+ 29382.28461*(J93)
+ 18098.25052*(K93)
+ 42659.1453*(L93)</f>
        <v>769804.17526303011</v>
      </c>
      <c r="N93">
        <f>B93-M93</f>
        <v>-142632.27526303008</v>
      </c>
    </row>
    <row r="94" spans="1:14">
      <c r="A94" t="s">
        <v>45</v>
      </c>
      <c r="B94">
        <v>838250.32</v>
      </c>
      <c r="C94">
        <v>86421.88</v>
      </c>
      <c r="D94">
        <v>7970</v>
      </c>
      <c r="E94">
        <v>91.3</v>
      </c>
      <c r="F94">
        <v>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 s="3">
        <f xml:space="preserve">
58353.13397
+ 1.209015414*(C94)
+ 34.01462932*(D94)
+ 3047.928974*(E94)
+ 13439.3628*(F94)
- 12401.60265*(G94)
+ 1618.412705*(H94)
- 18491.87448*(I94)
+ 29382.28461*(J94)
+ 18098.25052*(K94)
+ 42659.1453*(L94)</f>
        <v>779407.84400345827</v>
      </c>
      <c r="N94">
        <f>B94-M94</f>
        <v>58842.475996541674</v>
      </c>
    </row>
    <row r="95" spans="1:14">
      <c r="A95" t="s">
        <v>45</v>
      </c>
      <c r="B95">
        <v>753473.55</v>
      </c>
      <c r="C95">
        <v>67439.3</v>
      </c>
      <c r="D95">
        <v>6477</v>
      </c>
      <c r="E95">
        <v>90.9</v>
      </c>
      <c r="F95">
        <v>4.5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 s="3">
        <f xml:space="preserve">
58353.13397
+ 1.209015414*(C95)
+ 34.01462932*(D95)
+ 3047.928974*(E95)
+ 13439.3628*(F95)
- 12401.60265*(G95)
+ 1618.412705*(H95)
- 18491.87448*(I95)
+ 29382.28461*(J95)
+ 18098.25052*(K95)
+ 42659.1453*(L95)</f>
        <v>697734.91762161022</v>
      </c>
      <c r="N95">
        <f>B95-M95</f>
        <v>55738.632378389826</v>
      </c>
    </row>
    <row r="96" spans="1:14">
      <c r="A96" t="s">
        <v>45</v>
      </c>
      <c r="B96">
        <v>585937.48</v>
      </c>
      <c r="C96">
        <v>38966.589999999997</v>
      </c>
      <c r="D96">
        <v>4509</v>
      </c>
      <c r="E96">
        <v>91.1</v>
      </c>
      <c r="F96">
        <v>4.5999999999999996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 s="3">
        <f xml:space="preserve">
58353.13397
+ 1.209015414*(C96)
+ 34.01462932*(D96)
+ 3047.928974*(E96)
+ 13439.3628*(F96)
- 12401.60265*(G96)
+ 1618.412705*(H96)
- 18491.87448*(I96)
+ 29382.28461*(J96)
+ 18098.25052*(K96)
+ 42659.1453*(L96)</f>
        <v>598323.7039262983</v>
      </c>
      <c r="N96">
        <f>B96-M96</f>
        <v>-12386.22392629832</v>
      </c>
    </row>
    <row r="97" spans="1:14">
      <c r="A97" t="s">
        <v>45</v>
      </c>
      <c r="B97">
        <v>607898.12</v>
      </c>
      <c r="C97">
        <v>9534.65</v>
      </c>
      <c r="D97">
        <v>6057</v>
      </c>
      <c r="E97">
        <v>94.1</v>
      </c>
      <c r="F97">
        <v>4.5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 s="3">
        <f xml:space="preserve">
58353.13397
+ 1.209015414*(C97)
+ 34.01462932*(D97)
+ 3047.928974*(E97)
+ 13439.3628*(F97)
- 12401.60265*(G97)
+ 1618.412705*(H97)
- 18491.87448*(I97)
+ 29382.28461*(J97)
+ 18098.25052*(K97)
+ 42659.1453*(L97)</f>
        <v>623194.53163173504</v>
      </c>
      <c r="N97">
        <f>B97-M97</f>
        <v>-15296.411631735042</v>
      </c>
    </row>
    <row r="98" spans="1:14">
      <c r="A98" t="s">
        <v>46</v>
      </c>
      <c r="B98">
        <v>735509.4</v>
      </c>
      <c r="C98">
        <v>78839.39</v>
      </c>
      <c r="D98">
        <v>5150</v>
      </c>
      <c r="E98">
        <v>85.8</v>
      </c>
      <c r="F98">
        <v>4.3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 s="3">
        <f xml:space="preserve">
58353.13397
+ 1.209015414*(C98)
+ 34.01462932*(D98)
+ 3047.928974*(E98)
+ 13439.3628*(F98)
- 12401.60265*(G98)
+ 1618.412705*(H98)
- 18491.87448*(I98)
+ 29382.28461*(J98)
+ 18098.25052*(K98)
+ 42659.1453*(L98)</f>
        <v>677530.36332755734</v>
      </c>
      <c r="N98">
        <f>B98-M98</f>
        <v>57979.036672442686</v>
      </c>
    </row>
    <row r="99" spans="1:14">
      <c r="A99" t="s">
        <v>46</v>
      </c>
      <c r="B99">
        <v>675177.68</v>
      </c>
      <c r="C99">
        <v>55101.1</v>
      </c>
      <c r="D99">
        <v>5281</v>
      </c>
      <c r="E99">
        <v>91</v>
      </c>
      <c r="F99">
        <v>4.4000000000000004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 s="3">
        <f xml:space="preserve">
58353.13397
+ 1.209015414*(C99)
+ 34.01462932*(D99)
+ 3047.928974*(E99)
+ 13439.3628*(F99)
- 12401.60265*(G99)
+ 1618.412705*(H99)
- 18491.87448*(I99)
+ 29382.28461*(J99)
+ 18098.25052*(K99)
+ 42659.1453*(L99)</f>
        <v>670479.48820127535</v>
      </c>
      <c r="N99">
        <f>B99-M99</f>
        <v>4698.1917987246998</v>
      </c>
    </row>
    <row r="100" spans="1:14">
      <c r="A100" t="s">
        <v>46</v>
      </c>
      <c r="B100">
        <v>605775.32999999996</v>
      </c>
      <c r="C100">
        <v>38752.800000000003</v>
      </c>
      <c r="D100">
        <v>4712</v>
      </c>
      <c r="E100">
        <v>89.7</v>
      </c>
      <c r="F100">
        <v>4.3</v>
      </c>
      <c r="G100">
        <v>0</v>
      </c>
      <c r="H100">
        <v>0</v>
      </c>
      <c r="I100">
        <v>0</v>
      </c>
      <c r="J100">
        <v>1</v>
      </c>
      <c r="K100">
        <v>0</v>
      </c>
      <c r="L100">
        <v>0</v>
      </c>
      <c r="M100" s="3">
        <f xml:space="preserve">
58353.13397
+ 1.209015414*(C100)
+ 34.01462932*(D100)
+ 3047.928974*(E100)
+ 13439.3628*(F100)
- 12401.60265*(G100)
+ 1618.412705*(H100)
- 18491.87448*(I100)
+ 29382.28461*(J100)
+ 18098.25052*(K100)
+ 42659.1453*(L100)</f>
        <v>626053.57347929908</v>
      </c>
      <c r="N100">
        <f>B100-M100</f>
        <v>-20278.243479299126</v>
      </c>
    </row>
    <row r="101" spans="1:14">
      <c r="A101" t="s">
        <v>46</v>
      </c>
      <c r="B101">
        <v>691113.62</v>
      </c>
      <c r="C101">
        <v>61132.07</v>
      </c>
      <c r="D101">
        <v>6394</v>
      </c>
      <c r="E101">
        <v>91</v>
      </c>
      <c r="F101">
        <v>4.4000000000000004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 s="3">
        <f xml:space="preserve">
58353.13397
+ 1.209015414*(C101)
+ 34.01462932*(D101)
+ 3047.928974*(E101)
+ 13439.3628*(F101)
- 12401.60265*(G101)
+ 1618.412705*(H101)
- 18491.87448*(I101)
+ 29382.28461*(J101)
+ 18098.25052*(K101)
+ 42659.1453*(L101)</f>
        <v>715629.30632580689</v>
      </c>
      <c r="N101">
        <f>B101-M101</f>
        <v>-24515.686325806892</v>
      </c>
    </row>
    <row r="102" spans="1:14">
      <c r="A102" t="s">
        <v>47</v>
      </c>
      <c r="B102">
        <v>625514.04</v>
      </c>
      <c r="C102">
        <v>32266.639999999999</v>
      </c>
      <c r="D102">
        <v>2414</v>
      </c>
      <c r="E102">
        <v>92.1</v>
      </c>
      <c r="F102">
        <v>5</v>
      </c>
      <c r="G102">
        <v>0</v>
      </c>
      <c r="H102">
        <v>0</v>
      </c>
      <c r="I102">
        <v>1</v>
      </c>
      <c r="J102">
        <v>1</v>
      </c>
      <c r="K102">
        <v>0</v>
      </c>
      <c r="L102">
        <v>0</v>
      </c>
      <c r="M102" s="3">
        <f xml:space="preserve">
58353.13397
+ 1.209015414*(C102)
+ 34.01462932*(D102)
+ 3047.928974*(E102)
+ 13439.3628*(F102)
- 12401.60265*(G102)
+ 1618.412705*(H102)
- 18491.87448*(I102)
+ 29382.28461*(J102)
+ 18098.25052*(K102)
+ 42659.1453*(L102)</f>
        <v>538276.79690186889</v>
      </c>
      <c r="N102">
        <f>B102-M102</f>
        <v>87237.243098131148</v>
      </c>
    </row>
    <row r="103" spans="1:14">
      <c r="A103" t="s">
        <v>47</v>
      </c>
      <c r="B103">
        <v>635181.35</v>
      </c>
      <c r="C103">
        <v>53084.76</v>
      </c>
      <c r="D103">
        <v>3642</v>
      </c>
      <c r="E103">
        <v>91.4</v>
      </c>
      <c r="F103">
        <v>4.4000000000000004</v>
      </c>
      <c r="G103">
        <v>0</v>
      </c>
      <c r="H103">
        <v>0</v>
      </c>
      <c r="I103">
        <v>1</v>
      </c>
      <c r="J103">
        <v>1</v>
      </c>
      <c r="K103">
        <v>0</v>
      </c>
      <c r="L103">
        <v>0</v>
      </c>
      <c r="M103" s="3">
        <f xml:space="preserve">
58353.13397
+ 1.209015414*(C103)
+ 34.01462932*(D103)
+ 3047.928974*(E103)
+ 13439.3628*(F103)
- 12401.60265*(G103)
+ 1618.412705*(H103)
- 18491.87448*(I103)
+ 29382.28461*(J103)
+ 18098.25052*(K103)
+ 42659.1453*(L103)</f>
        <v>595019.02171553054</v>
      </c>
      <c r="N103">
        <f>B103-M103</f>
        <v>40162.328284469433</v>
      </c>
    </row>
    <row r="104" spans="1:14">
      <c r="A104" t="s">
        <v>47</v>
      </c>
      <c r="B104">
        <v>740102.64</v>
      </c>
      <c r="C104">
        <v>90084.4</v>
      </c>
      <c r="D104">
        <v>6832</v>
      </c>
      <c r="E104">
        <v>80.5</v>
      </c>
      <c r="F104">
        <v>4.4000000000000004</v>
      </c>
      <c r="G104">
        <v>0</v>
      </c>
      <c r="H104">
        <v>0</v>
      </c>
      <c r="I104">
        <v>1</v>
      </c>
      <c r="J104">
        <v>1</v>
      </c>
      <c r="K104">
        <v>0</v>
      </c>
      <c r="L104">
        <v>0</v>
      </c>
      <c r="M104" s="3">
        <f xml:space="preserve">
58353.13397
+ 1.209015414*(C104)
+ 34.01462932*(D104)
+ 3047.928974*(E104)
+ 13439.3628*(F104)
- 12401.60265*(G104)
+ 1618.412705*(H104)
- 18491.87448*(I104)
+ 29382.28461*(J104)
+ 18098.25052*(K104)
+ 42659.1453*(L104)</f>
        <v>715036.39850218152</v>
      </c>
      <c r="N104">
        <f>B104-M104</f>
        <v>25066.241497818497</v>
      </c>
    </row>
    <row r="105" spans="1:14">
      <c r="A105" t="s">
        <v>47</v>
      </c>
      <c r="B105">
        <v>586626.93999999994</v>
      </c>
      <c r="C105">
        <v>63101.59</v>
      </c>
      <c r="D105">
        <v>4373</v>
      </c>
      <c r="E105">
        <v>90.4</v>
      </c>
      <c r="F105">
        <v>4.7</v>
      </c>
      <c r="G105">
        <v>0</v>
      </c>
      <c r="H105">
        <v>0</v>
      </c>
      <c r="I105">
        <v>1</v>
      </c>
      <c r="J105">
        <v>1</v>
      </c>
      <c r="K105">
        <v>0</v>
      </c>
      <c r="L105">
        <v>0</v>
      </c>
      <c r="M105" s="3">
        <f xml:space="preserve">
58353.13397
+ 1.209015414*(C105)
+ 34.01462932*(D105)
+ 3047.928974*(E105)
+ 13439.3628*(F105)
- 12401.60265*(G105)
+ 1618.412705*(H105)
- 18491.87448*(I105)
+ 29382.28461*(J105)
+ 18098.25052*(K105)
+ 42659.1453*(L105)</f>
        <v>632978.09748386836</v>
      </c>
      <c r="N105">
        <f>B105-M105</f>
        <v>-46351.157483868417</v>
      </c>
    </row>
    <row r="106" spans="1:14">
      <c r="A106" t="s">
        <v>48</v>
      </c>
      <c r="B106">
        <v>795153.84</v>
      </c>
      <c r="C106">
        <v>64294.23</v>
      </c>
      <c r="D106">
        <v>6992</v>
      </c>
      <c r="E106">
        <v>94.1</v>
      </c>
      <c r="F106">
        <v>3</v>
      </c>
      <c r="G106">
        <v>0</v>
      </c>
      <c r="H106">
        <v>0</v>
      </c>
      <c r="I106">
        <v>0</v>
      </c>
      <c r="J106">
        <v>0</v>
      </c>
      <c r="K106">
        <v>1</v>
      </c>
      <c r="L106">
        <v>0</v>
      </c>
      <c r="M106" s="3">
        <f xml:space="preserve">
58353.13397
+ 1.209015414*(C106)
+ 34.01462932*(D106)
+ 3047.928974*(E106)
+ 13439.3628*(F106)
- 12401.60265*(G106)
+ 1618.412705*(H106)
- 18491.87448*(I106)
+ 29382.28461*(J106)
+ 18098.25052*(K106)
+ 42659.1453*(L106)</f>
        <v>719142.59265010129</v>
      </c>
      <c r="N106">
        <f>B106-M106</f>
        <v>76011.24734989868</v>
      </c>
    </row>
    <row r="107" spans="1:14">
      <c r="A107" t="s">
        <v>48</v>
      </c>
      <c r="B107">
        <v>727227.2</v>
      </c>
      <c r="C107">
        <v>57919.07</v>
      </c>
      <c r="D107">
        <v>7374</v>
      </c>
      <c r="E107">
        <v>82.3</v>
      </c>
      <c r="F107">
        <v>2.9</v>
      </c>
      <c r="G107">
        <v>0</v>
      </c>
      <c r="H107">
        <v>0</v>
      </c>
      <c r="I107">
        <v>0</v>
      </c>
      <c r="J107">
        <v>0</v>
      </c>
      <c r="K107">
        <v>1</v>
      </c>
      <c r="L107">
        <v>0</v>
      </c>
      <c r="M107" s="3">
        <f xml:space="preserve">
58353.13397
+ 1.209015414*(C107)
+ 34.01462932*(D107)
+ 3047.928974*(E107)
+ 13439.3628*(F107)
- 12401.60265*(G107)
+ 1618.412705*(H107)
- 18491.87448*(I107)
+ 29382.28461*(J107)
+ 18098.25052*(K107)
+ 42659.1453*(L107)</f>
        <v>687119.01617042487</v>
      </c>
      <c r="N107">
        <f>B107-M107</f>
        <v>40108.183829575079</v>
      </c>
    </row>
    <row r="108" spans="1:14">
      <c r="A108" t="s">
        <v>48</v>
      </c>
      <c r="B108">
        <v>665594.93999999994</v>
      </c>
      <c r="C108">
        <v>31042.03</v>
      </c>
      <c r="D108">
        <v>7107</v>
      </c>
      <c r="E108">
        <v>87</v>
      </c>
      <c r="F108">
        <v>3.2</v>
      </c>
      <c r="G108">
        <v>0</v>
      </c>
      <c r="H108">
        <v>0</v>
      </c>
      <c r="I108">
        <v>0</v>
      </c>
      <c r="J108">
        <v>0</v>
      </c>
      <c r="K108">
        <v>1</v>
      </c>
      <c r="L108">
        <v>0</v>
      </c>
      <c r="M108" s="3">
        <f xml:space="preserve">
58353.13397
+ 1.209015414*(C108)
+ 34.01462932*(D108)
+ 3047.928974*(E108)
+ 13439.3628*(F108)
- 12401.60265*(G108)
+ 1618.412705*(H108)
- 18491.87448*(I108)
+ 29382.28461*(J108)
+ 18098.25052*(K108)
+ 42659.1453*(L108)</f>
        <v>663899.42951709044</v>
      </c>
      <c r="N108">
        <f>B108-M108</f>
        <v>1695.5104829095071</v>
      </c>
    </row>
    <row r="109" spans="1:14">
      <c r="A109" t="s">
        <v>48</v>
      </c>
      <c r="B109">
        <v>783797.89</v>
      </c>
      <c r="C109">
        <v>74679.350000000006</v>
      </c>
      <c r="D109">
        <v>8739</v>
      </c>
      <c r="E109">
        <v>91.8</v>
      </c>
      <c r="F109">
        <v>3</v>
      </c>
      <c r="G109">
        <v>0</v>
      </c>
      <c r="H109">
        <v>0</v>
      </c>
      <c r="I109">
        <v>0</v>
      </c>
      <c r="J109">
        <v>0</v>
      </c>
      <c r="K109">
        <v>1</v>
      </c>
      <c r="L109">
        <v>0</v>
      </c>
      <c r="M109" s="3">
        <f xml:space="preserve">
58353.13397
+ 1.209015414*(C109)
+ 34.01462932*(D109)
+ 3047.928974*(E109)
+ 13439.3628*(F109)
- 12401.60265*(G109)
+ 1618.412705*(H109)
- 18491.87448*(I109)
+ 29382.28461*(J109)
+ 18098.25052*(K109)
+ 42659.1453*(L109)</f>
        <v>784111.68358818092</v>
      </c>
      <c r="N109">
        <f>B109-M109</f>
        <v>-313.79358818090986</v>
      </c>
    </row>
    <row r="110" spans="1:14">
      <c r="A110" t="s">
        <v>49</v>
      </c>
      <c r="B110">
        <v>713611.16</v>
      </c>
      <c r="C110">
        <v>52758.01</v>
      </c>
      <c r="D110">
        <v>4063</v>
      </c>
      <c r="E110">
        <v>91.7</v>
      </c>
      <c r="F110">
        <v>3.5</v>
      </c>
      <c r="G110">
        <v>0</v>
      </c>
      <c r="H110">
        <v>0</v>
      </c>
      <c r="I110">
        <v>1</v>
      </c>
      <c r="J110">
        <v>1</v>
      </c>
      <c r="K110">
        <v>0</v>
      </c>
      <c r="L110">
        <v>0</v>
      </c>
      <c r="M110" s="3">
        <f xml:space="preserve">
58353.13397
+ 1.209015414*(C110)
+ 34.01462932*(D110)
+ 3047.928974*(E110)
+ 13439.3628*(F110)
- 12401.60265*(G110)
+ 1618.412705*(H110)
- 18491.87448*(I110)
+ 29382.28461*(J110)
+ 18098.25052*(K110)
+ 42659.1453*(L110)</f>
        <v>597763.08704492613</v>
      </c>
      <c r="N110">
        <f>B110-M110</f>
        <v>115848.07295507391</v>
      </c>
    </row>
    <row r="111" spans="1:14">
      <c r="A111" t="s">
        <v>49</v>
      </c>
      <c r="B111">
        <v>709478.39</v>
      </c>
      <c r="C111">
        <v>75265.02</v>
      </c>
      <c r="D111">
        <v>6975</v>
      </c>
      <c r="E111">
        <v>73.8</v>
      </c>
      <c r="F111">
        <v>3.8</v>
      </c>
      <c r="G111">
        <v>0</v>
      </c>
      <c r="H111">
        <v>0</v>
      </c>
      <c r="I111">
        <v>1</v>
      </c>
      <c r="J111">
        <v>1</v>
      </c>
      <c r="K111">
        <v>0</v>
      </c>
      <c r="L111">
        <v>0</v>
      </c>
      <c r="M111" s="3">
        <f xml:space="preserve">
58353.13397
+ 1.209015414*(C111)
+ 34.01462932*(D111)
+ 3047.928974*(E111)
+ 13439.3628*(F111)
- 12401.60265*(G111)
+ 1618.412705*(H111)
- 18491.87448*(I111)
+ 29382.28461*(J111)
+ 18098.25052*(K111)
+ 42659.1453*(L111)</f>
        <v>673498.88984321826</v>
      </c>
      <c r="N111">
        <f>B111-M111</f>
        <v>35979.500156781753</v>
      </c>
    </row>
    <row r="112" spans="1:14">
      <c r="A112" t="s">
        <v>49</v>
      </c>
      <c r="B112">
        <v>664162.49</v>
      </c>
      <c r="C112">
        <v>69411.7</v>
      </c>
      <c r="D112">
        <v>5493</v>
      </c>
      <c r="E112">
        <v>86.5</v>
      </c>
      <c r="F112">
        <v>3.8</v>
      </c>
      <c r="G112">
        <v>0</v>
      </c>
      <c r="H112">
        <v>0</v>
      </c>
      <c r="I112">
        <v>1</v>
      </c>
      <c r="J112">
        <v>1</v>
      </c>
      <c r="K112">
        <v>0</v>
      </c>
      <c r="L112">
        <v>0</v>
      </c>
      <c r="M112" s="3">
        <f xml:space="preserve">
58353.13397
+ 1.209015414*(C112)
+ 34.01462932*(D112)
+ 3047.928974*(E112)
+ 13439.3628*(F112)
- 12401.60265*(G112)
+ 1618.412705*(H112)
- 18491.87448*(I112)
+ 29382.28461*(J112)
+ 18098.25052*(K112)
+ 42659.1453*(L112)</f>
        <v>654721.15305770375</v>
      </c>
      <c r="N112">
        <f>B112-M112</f>
        <v>9441.3369422962423</v>
      </c>
    </row>
    <row r="113" spans="1:14">
      <c r="A113" t="s">
        <v>49</v>
      </c>
      <c r="B113">
        <v>633494.21</v>
      </c>
      <c r="C113">
        <v>51056.15</v>
      </c>
      <c r="D113">
        <v>5686</v>
      </c>
      <c r="E113">
        <v>89.9</v>
      </c>
      <c r="F113">
        <v>4.2</v>
      </c>
      <c r="G113">
        <v>0</v>
      </c>
      <c r="H113">
        <v>0</v>
      </c>
      <c r="I113">
        <v>1</v>
      </c>
      <c r="J113">
        <v>1</v>
      </c>
      <c r="K113">
        <v>0</v>
      </c>
      <c r="L113">
        <v>0</v>
      </c>
      <c r="M113" s="3">
        <f xml:space="preserve">
58353.13397
+ 1.209015414*(C113)
+ 34.01462932*(D113)
+ 3047.928974*(E113)
+ 13439.3628*(F113)
- 12401.60265*(G113)
+ 1618.412705*(H113)
- 18491.87448*(I113)
+ 29382.28461*(J113)
+ 18098.25052*(K113)
+ 42659.1453*(L113)</f>
        <v>654832.53726561612</v>
      </c>
      <c r="N113">
        <f>B113-M113</f>
        <v>-21338.327265616157</v>
      </c>
    </row>
    <row r="114" spans="1:14">
      <c r="A114" t="s">
        <v>50</v>
      </c>
      <c r="B114">
        <v>778397.97</v>
      </c>
      <c r="C114">
        <v>61426.04</v>
      </c>
      <c r="D114">
        <v>8966</v>
      </c>
      <c r="E114">
        <v>76.400000000000006</v>
      </c>
      <c r="F114">
        <v>3.1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 s="3">
        <f xml:space="preserve">
58353.13397
+ 1.209015414*(C114)
+ 34.01462932*(D114)
+ 3047.928974*(E114)
+ 13439.3628*(F114)
- 12401.60265*(G114)
+ 1618.412705*(H114)
- 18491.87448*(I114)
+ 29382.28461*(J114)
+ 18098.25052*(K114)
+ 42659.1453*(L114)</f>
        <v>741499.4125377005</v>
      </c>
      <c r="N114">
        <f>B114-M114</f>
        <v>36898.557462299475</v>
      </c>
    </row>
    <row r="115" spans="1:14">
      <c r="A115" t="s">
        <v>50</v>
      </c>
      <c r="B115">
        <v>873380.02</v>
      </c>
      <c r="C115">
        <v>80176.34</v>
      </c>
      <c r="D115">
        <v>9489</v>
      </c>
      <c r="E115">
        <v>94.3</v>
      </c>
      <c r="F115">
        <v>3.5</v>
      </c>
      <c r="G115">
        <v>0</v>
      </c>
      <c r="H115">
        <v>0</v>
      </c>
      <c r="I115">
        <v>0</v>
      </c>
      <c r="J115">
        <v>1</v>
      </c>
      <c r="K115">
        <v>0</v>
      </c>
      <c r="L115">
        <v>0</v>
      </c>
      <c r="M115" s="3">
        <f xml:space="preserve">
58353.13397
+ 1.209015414*(C115)
+ 34.01462932*(D115)
+ 3047.928974*(E115)
+ 13439.3628*(F115)
- 12401.60265*(G115)
+ 1618.412705*(H115)
- 18491.87448*(I115)
+ 29382.28461*(J115)
+ 18098.25052*(K115)
+ 42659.1453*(L115)</f>
        <v>841892.13914378465</v>
      </c>
      <c r="N115">
        <f>B115-M115</f>
        <v>31487.880856215372</v>
      </c>
    </row>
    <row r="116" spans="1:14">
      <c r="A116" t="s">
        <v>50</v>
      </c>
      <c r="B116">
        <v>718074.79</v>
      </c>
      <c r="C116">
        <v>25990.54</v>
      </c>
      <c r="D116">
        <v>9249</v>
      </c>
      <c r="E116">
        <v>92.5</v>
      </c>
      <c r="F116">
        <v>3.3</v>
      </c>
      <c r="G116">
        <v>0</v>
      </c>
      <c r="H116">
        <v>0</v>
      </c>
      <c r="I116">
        <v>0</v>
      </c>
      <c r="J116">
        <v>1</v>
      </c>
      <c r="K116">
        <v>0</v>
      </c>
      <c r="L116">
        <v>0</v>
      </c>
      <c r="M116" s="3">
        <f xml:space="preserve">
58353.13397
+ 1.209015414*(C116)
+ 34.01462932*(D116)
+ 3047.928974*(E116)
+ 13439.3628*(F116)
- 12401.60265*(G116)
+ 1618.412705*(H116)
- 18491.87448*(I116)
+ 29382.28461*(J116)
+ 18098.25052*(K116)
+ 42659.1453*(L116)</f>
        <v>760043.01597386354</v>
      </c>
      <c r="N116">
        <f>B116-M116</f>
        <v>-41968.225973863504</v>
      </c>
    </row>
    <row r="117" spans="1:14">
      <c r="A117" t="s">
        <v>50</v>
      </c>
      <c r="B117">
        <v>697287.9</v>
      </c>
      <c r="C117">
        <v>33605.18</v>
      </c>
      <c r="D117">
        <v>9225</v>
      </c>
      <c r="E117">
        <v>88.4</v>
      </c>
      <c r="F117">
        <v>2.8</v>
      </c>
      <c r="G117">
        <v>0</v>
      </c>
      <c r="H117">
        <v>0</v>
      </c>
      <c r="I117">
        <v>0</v>
      </c>
      <c r="J117">
        <v>1</v>
      </c>
      <c r="K117">
        <v>0</v>
      </c>
      <c r="L117">
        <v>0</v>
      </c>
      <c r="M117" s="3">
        <f xml:space="preserve">
58353.13397
+ 1.209015414*(C117)
+ 34.01462932*(D117)
+ 3047.928974*(E117)
+ 13439.3628*(F117)
- 12401.60265*(G117)
+ 1618.412705*(H117)
- 18491.87448*(I117)
+ 29382.28461*(J117)
+ 18098.25052*(K117)
+ 42659.1453*(L117)</f>
        <v>749216.69180884445</v>
      </c>
      <c r="N117">
        <f>B117-M117</f>
        <v>-51928.791808844428</v>
      </c>
    </row>
    <row r="118" spans="1:14">
      <c r="A118" t="s">
        <v>51</v>
      </c>
      <c r="B118">
        <v>820519.04</v>
      </c>
      <c r="C118">
        <v>57360.01</v>
      </c>
      <c r="D118">
        <v>8434</v>
      </c>
      <c r="E118">
        <v>84.1</v>
      </c>
      <c r="F118">
        <v>4.7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 s="3">
        <f xml:space="preserve">
58353.13397
+ 1.209015414*(C118)
+ 34.01462932*(D118)
+ 3047.928974*(E118)
+ 13439.3628*(F118)
- 12401.60265*(G118)
+ 1618.412705*(H118)
- 18491.87448*(I118)
+ 29382.28461*(J118)
+ 18098.25052*(K118)
+ 42659.1453*(L118)</f>
        <v>734077.48576547415</v>
      </c>
      <c r="N118">
        <f>B118-M118</f>
        <v>86441.554234525887</v>
      </c>
    </row>
    <row r="119" spans="1:14">
      <c r="A119" t="s">
        <v>51</v>
      </c>
      <c r="B119">
        <v>714942.43</v>
      </c>
      <c r="C119">
        <v>43685.14</v>
      </c>
      <c r="D119">
        <v>7821</v>
      </c>
      <c r="E119">
        <v>91</v>
      </c>
      <c r="F119">
        <v>4.7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 s="3">
        <f xml:space="preserve">
58353.13397
+ 1.209015414*(C119)
+ 34.01462932*(D119)
+ 3047.928974*(E119)
+ 13439.3628*(F119)
- 12401.60265*(G119)
+ 1618.412705*(H119)
- 18491.87448*(I119)
+ 29382.28461*(J119)
+ 18098.25052*(K119)
+ 42659.1453*(L119)</f>
        <v>717724.09929846798</v>
      </c>
      <c r="N119">
        <f>B119-M119</f>
        <v>-2781.6692984679248</v>
      </c>
    </row>
    <row r="120" spans="1:14">
      <c r="A120" t="s">
        <v>51</v>
      </c>
      <c r="B120">
        <v>735480.19</v>
      </c>
      <c r="C120">
        <v>54968.98</v>
      </c>
      <c r="D120">
        <v>7816</v>
      </c>
      <c r="E120">
        <v>95.7</v>
      </c>
      <c r="F120">
        <v>4.7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 s="3">
        <f xml:space="preserve">
58353.13397
+ 1.209015414*(C120)
+ 34.01462932*(D120)
+ 3047.928974*(E120)
+ 13439.3628*(F120)
- 12401.60265*(G120)
+ 1618.412705*(H120)
- 18491.87448*(I120)
+ 29382.28461*(J120)
+ 18098.25052*(K120)
+ 42659.1453*(L120)</f>
        <v>745521.62881877774</v>
      </c>
      <c r="N120">
        <f>B120-M120</f>
        <v>-10041.438818777795</v>
      </c>
    </row>
    <row r="121" spans="1:14">
      <c r="A121" t="s">
        <v>51</v>
      </c>
      <c r="B121">
        <v>684217.32</v>
      </c>
      <c r="C121">
        <v>42415.47</v>
      </c>
      <c r="D121">
        <v>8512</v>
      </c>
      <c r="E121">
        <v>96.8</v>
      </c>
      <c r="F121">
        <v>4.5999999999999996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 s="3">
        <f xml:space="preserve">
58353.13397
+ 1.209015414*(C121)
+ 34.01462932*(D121)
+ 3047.928974*(E121)
+ 13439.3628*(F121)
- 12401.60265*(G121)
+ 1618.412705*(H121)
- 18491.87448*(I121)
+ 29382.28461*(J121)
+ 18098.25052*(K121)
+ 42659.1453*(L121)</f>
        <v>756027.20932709461</v>
      </c>
      <c r="N121">
        <f>B121-M121</f>
        <v>-71809.889327094657</v>
      </c>
    </row>
    <row r="122" spans="1:14">
      <c r="A122" t="s">
        <v>52</v>
      </c>
      <c r="B122">
        <v>654317.09</v>
      </c>
      <c r="C122">
        <v>83044.17</v>
      </c>
      <c r="D122">
        <v>3694</v>
      </c>
      <c r="E122">
        <v>89.4</v>
      </c>
      <c r="F122">
        <v>3.7</v>
      </c>
      <c r="G122">
        <v>1</v>
      </c>
      <c r="H122">
        <v>0</v>
      </c>
      <c r="I122">
        <v>0</v>
      </c>
      <c r="J122">
        <v>0</v>
      </c>
      <c r="K122">
        <v>1</v>
      </c>
      <c r="L122">
        <v>0</v>
      </c>
      <c r="M122" s="3">
        <f xml:space="preserve">
58353.13397
+ 1.209015414*(C122)
+ 34.01462932*(D122)
+ 3047.928974*(E122)
+ 13439.3628*(F122)
- 12401.60265*(G122)
+ 1618.412705*(H122)
- 18491.87448*(I122)
+ 29382.28461*(J122)
+ 18098.25052*(K122)
+ 42659.1453*(L122)</f>
        <v>612311.99675651651</v>
      </c>
      <c r="N122">
        <f>B122-M122</f>
        <v>42005.093243483454</v>
      </c>
    </row>
    <row r="123" spans="1:14">
      <c r="A123" t="s">
        <v>52</v>
      </c>
      <c r="B123">
        <v>557487.26</v>
      </c>
      <c r="C123">
        <v>48396.13</v>
      </c>
      <c r="D123">
        <v>4423</v>
      </c>
      <c r="E123">
        <v>85.7</v>
      </c>
      <c r="F123">
        <v>3.9</v>
      </c>
      <c r="G123">
        <v>1</v>
      </c>
      <c r="H123">
        <v>0</v>
      </c>
      <c r="I123">
        <v>0</v>
      </c>
      <c r="J123">
        <v>0</v>
      </c>
      <c r="K123">
        <v>1</v>
      </c>
      <c r="L123">
        <v>0</v>
      </c>
      <c r="M123" s="3">
        <f xml:space="preserve">
58353.13397
+ 1.209015414*(C123)
+ 34.01462932*(D123)
+ 3047.928974*(E123)
+ 13439.3628*(F123)
- 12401.60265*(G123)
+ 1618.412705*(H123)
- 18491.87448*(I123)
+ 29382.28461*(J123)
+ 18098.25052*(K123)
+ 42659.1453*(L123)</f>
        <v>586629.18246210774</v>
      </c>
      <c r="N123">
        <f>B123-M123</f>
        <v>-29141.92246210773</v>
      </c>
    </row>
    <row r="124" spans="1:14">
      <c r="A124" t="s">
        <v>52</v>
      </c>
      <c r="B124">
        <v>509484.81</v>
      </c>
      <c r="C124">
        <v>43896.13</v>
      </c>
      <c r="D124">
        <v>3853</v>
      </c>
      <c r="E124">
        <v>83</v>
      </c>
      <c r="F124">
        <v>4.4000000000000004</v>
      </c>
      <c r="G124">
        <v>1</v>
      </c>
      <c r="H124">
        <v>0</v>
      </c>
      <c r="I124">
        <v>0</v>
      </c>
      <c r="J124">
        <v>0</v>
      </c>
      <c r="K124">
        <v>1</v>
      </c>
      <c r="L124">
        <v>0</v>
      </c>
      <c r="M124" s="3">
        <f xml:space="preserve">
58353.13397
+ 1.209015414*(C124)
+ 34.01462932*(D124)
+ 3047.928974*(E124)
+ 13439.3628*(F124)
- 12401.60265*(G124)
+ 1618.412705*(H124)
- 18491.87448*(I124)
+ 29382.28461*(J124)
+ 18098.25052*(K124)
+ 42659.1453*(L124)</f>
        <v>560290.54755690775</v>
      </c>
      <c r="N124">
        <f>B124-M124</f>
        <v>-50805.737556907756</v>
      </c>
    </row>
    <row r="125" spans="1:14">
      <c r="A125" t="s">
        <v>52</v>
      </c>
      <c r="B125">
        <v>441275.42</v>
      </c>
      <c r="C125">
        <v>19063.48</v>
      </c>
      <c r="D125">
        <v>1906</v>
      </c>
      <c r="E125">
        <v>97.8</v>
      </c>
      <c r="F125">
        <v>4.4000000000000004</v>
      </c>
      <c r="G125">
        <v>1</v>
      </c>
      <c r="H125">
        <v>0</v>
      </c>
      <c r="I125">
        <v>0</v>
      </c>
      <c r="J125">
        <v>0</v>
      </c>
      <c r="K125">
        <v>1</v>
      </c>
      <c r="L125">
        <v>0</v>
      </c>
      <c r="M125" s="3">
        <f xml:space="preserve">
58353.13397
+ 1.209015414*(C125)
+ 34.01462932*(D125)
+ 3047.928974*(E125)
+ 13439.3628*(F125)
- 12401.60265*(G125)
+ 1618.412705*(H125)
- 18491.87448*(I125)
+ 29382.28461*(J125)
+ 18098.25052*(K125)
+ 42659.1453*(L125)</f>
        <v>509150.35646560066</v>
      </c>
      <c r="N125">
        <f>B125-M125</f>
        <v>-67874.93646560068</v>
      </c>
    </row>
    <row r="126" spans="1:14">
      <c r="A126" t="s">
        <v>53</v>
      </c>
      <c r="B126">
        <v>914544.17</v>
      </c>
      <c r="C126">
        <v>61541.21</v>
      </c>
      <c r="D126">
        <v>10396</v>
      </c>
      <c r="E126">
        <v>88.1</v>
      </c>
      <c r="F126">
        <v>4.8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0</v>
      </c>
      <c r="M126" s="3">
        <f xml:space="preserve">
58353.13397
+ 1.209015414*(C126)
+ 34.01462932*(D126)
+ 3047.928974*(E126)
+ 13439.3628*(F126)
- 12401.60265*(G126)
+ 1618.412705*(H126)
- 18491.87448*(I126)
+ 29382.28461*(J126)
+ 18098.25052*(K126)
+ 42659.1453*(L126)</f>
        <v>839121.63914133096</v>
      </c>
      <c r="N126">
        <f>B126-M126</f>
        <v>75422.530858669081</v>
      </c>
    </row>
    <row r="127" spans="1:14">
      <c r="A127" t="s">
        <v>53</v>
      </c>
      <c r="B127">
        <v>842157.92</v>
      </c>
      <c r="C127">
        <v>56517.9</v>
      </c>
      <c r="D127">
        <v>9574</v>
      </c>
      <c r="E127">
        <v>88.2</v>
      </c>
      <c r="F127">
        <v>4.9000000000000004</v>
      </c>
      <c r="G127">
        <v>0</v>
      </c>
      <c r="H127">
        <v>1</v>
      </c>
      <c r="I127">
        <v>0</v>
      </c>
      <c r="J127">
        <v>0</v>
      </c>
      <c r="K127">
        <v>1</v>
      </c>
      <c r="L127">
        <v>0</v>
      </c>
      <c r="M127" s="3">
        <f xml:space="preserve">
58353.13397
+ 1.209015414*(C127)
+ 34.01462932*(D127)
+ 3047.928974*(E127)
+ 13439.3628*(F127)
- 12401.60265*(G127)
+ 1618.412705*(H127)
- 18491.87448*(I127)
+ 29382.28461*(J127)
+ 18098.25052*(K127)
+ 42659.1453*(L127)</f>
        <v>806737.08379839058</v>
      </c>
      <c r="N127">
        <f>B127-M127</f>
        <v>35420.836201609462</v>
      </c>
    </row>
    <row r="128" spans="1:14">
      <c r="A128" t="s">
        <v>53</v>
      </c>
      <c r="B128">
        <v>697155.3</v>
      </c>
      <c r="C128">
        <v>37828.5</v>
      </c>
      <c r="D128">
        <v>8221</v>
      </c>
      <c r="E128">
        <v>81.5</v>
      </c>
      <c r="F128">
        <v>4.8</v>
      </c>
      <c r="G128">
        <v>0</v>
      </c>
      <c r="H128">
        <v>1</v>
      </c>
      <c r="I128">
        <v>0</v>
      </c>
      <c r="J128">
        <v>0</v>
      </c>
      <c r="K128">
        <v>1</v>
      </c>
      <c r="L128">
        <v>0</v>
      </c>
      <c r="M128" s="3">
        <f xml:space="preserve">
58353.13397
+ 1.209015414*(C128)
+ 34.01462932*(D128)
+ 3047.928974*(E128)
+ 13439.3628*(F128)
- 12401.60265*(G128)
+ 1618.412705*(H128)
- 18491.87448*(I128)
+ 29382.28461*(J128)
+ 18098.25052*(K128)
+ 42659.1453*(L128)</f>
        <v>716354.45724421903</v>
      </c>
      <c r="N128">
        <f>B128-M128</f>
        <v>-19199.157244218979</v>
      </c>
    </row>
    <row r="129" spans="1:14">
      <c r="A129" t="s">
        <v>53</v>
      </c>
      <c r="B129">
        <v>842439.67</v>
      </c>
      <c r="C129">
        <v>44747</v>
      </c>
      <c r="D129">
        <v>11076</v>
      </c>
      <c r="E129">
        <v>98.3</v>
      </c>
      <c r="F129">
        <v>4.4000000000000004</v>
      </c>
      <c r="G129">
        <v>0</v>
      </c>
      <c r="H129">
        <v>1</v>
      </c>
      <c r="I129">
        <v>0</v>
      </c>
      <c r="J129">
        <v>0</v>
      </c>
      <c r="K129">
        <v>1</v>
      </c>
      <c r="L129">
        <v>0</v>
      </c>
      <c r="M129" s="3">
        <f xml:space="preserve">
58353.13397
+ 1.209015414*(C129)
+ 34.01462932*(D129)
+ 3047.928974*(E129)
+ 13439.3628*(F129)
- 12401.60265*(G129)
+ 1618.412705*(H129)
- 18491.87448*(I129)
+ 29382.28461*(J129)
+ 18098.25052*(K129)
+ 42659.1453*(L129)</f>
        <v>867660.25873777794</v>
      </c>
      <c r="N129">
        <f>B129-M129</f>
        <v>-25220.5887377779</v>
      </c>
    </row>
    <row r="130" spans="1:14">
      <c r="A130" t="s">
        <v>54</v>
      </c>
      <c r="B130">
        <v>849018.3</v>
      </c>
      <c r="C130">
        <v>66250.53</v>
      </c>
      <c r="D130">
        <v>10618</v>
      </c>
      <c r="E130">
        <v>88.3</v>
      </c>
      <c r="F130">
        <v>4.4000000000000004</v>
      </c>
      <c r="G130">
        <v>0</v>
      </c>
      <c r="H130">
        <v>0</v>
      </c>
      <c r="I130">
        <v>1</v>
      </c>
      <c r="J130">
        <v>0</v>
      </c>
      <c r="K130">
        <v>1</v>
      </c>
      <c r="L130">
        <v>0</v>
      </c>
      <c r="M130" s="3">
        <f xml:space="preserve">
58353.13397
+ 1.209015414*(C130)
+ 34.01462932*(D130)
+ 3047.928974*(E130)
+ 13439.3628*(F130)
- 12401.60265*(G130)
+ 1618.412705*(H130)
- 18491.87448*(I130)
+ 29382.28461*(J130)
+ 18098.25052*(K130)
+ 42659.1453*(L130)</f>
        <v>827490.08080962941</v>
      </c>
      <c r="N130">
        <f>B130-M130</f>
        <v>21528.219190370641</v>
      </c>
    </row>
    <row r="131" spans="1:14">
      <c r="A131" t="s">
        <v>54</v>
      </c>
      <c r="B131">
        <v>801830.35</v>
      </c>
      <c r="C131">
        <v>68410.929999999993</v>
      </c>
      <c r="D131">
        <v>10596</v>
      </c>
      <c r="E131">
        <v>81.2</v>
      </c>
      <c r="F131">
        <v>4</v>
      </c>
      <c r="G131">
        <v>0</v>
      </c>
      <c r="H131">
        <v>0</v>
      </c>
      <c r="I131">
        <v>1</v>
      </c>
      <c r="J131">
        <v>0</v>
      </c>
      <c r="K131">
        <v>1</v>
      </c>
      <c r="L131">
        <v>0</v>
      </c>
      <c r="M131" s="3">
        <f xml:space="preserve">
58353.13397
+ 1.209015414*(C131)
+ 34.01462932*(D131)
+ 3047.928974*(E131)
+ 13439.3628*(F131)
- 12401.60265*(G131)
+ 1618.412705*(H131)
- 18491.87448*(I131)
+ 29382.28461*(J131)
+ 18098.25052*(K131)
+ 42659.1453*(L131)</f>
        <v>802337.67502959492</v>
      </c>
      <c r="N131">
        <f>B131-M131</f>
        <v>-507.32502959494013</v>
      </c>
    </row>
    <row r="132" spans="1:14">
      <c r="A132" t="s">
        <v>54</v>
      </c>
      <c r="B132">
        <v>811452.72</v>
      </c>
      <c r="C132">
        <v>66455.8</v>
      </c>
      <c r="D132">
        <v>10836</v>
      </c>
      <c r="E132">
        <v>85</v>
      </c>
      <c r="F132">
        <v>4.5</v>
      </c>
      <c r="G132">
        <v>0</v>
      </c>
      <c r="H132">
        <v>0</v>
      </c>
      <c r="I132">
        <v>1</v>
      </c>
      <c r="J132">
        <v>0</v>
      </c>
      <c r="K132">
        <v>1</v>
      </c>
      <c r="L132">
        <v>0</v>
      </c>
      <c r="M132" s="3">
        <f xml:space="preserve">
58353.13397
+ 1.209015414*(C132)
+ 34.01462932*(D132)
+ 3047.928974*(E132)
+ 13439.3628*(F132)
- 12401.60265*(G132)
+ 1618.412705*(H132)
- 18491.87448*(I132)
+ 29382.28461*(J132)
+ 18098.25052*(K132)
+ 42659.1453*(L132)</f>
        <v>826439.21526122116</v>
      </c>
      <c r="N132">
        <f>B132-M132</f>
        <v>-14986.495261221193</v>
      </c>
    </row>
    <row r="133" spans="1:14">
      <c r="A133" t="s">
        <v>54</v>
      </c>
      <c r="B133">
        <v>725235.28</v>
      </c>
      <c r="C133">
        <v>50735.63</v>
      </c>
      <c r="D133">
        <v>9619</v>
      </c>
      <c r="E133">
        <v>93.8</v>
      </c>
      <c r="F133">
        <v>4.5</v>
      </c>
      <c r="G133">
        <v>0</v>
      </c>
      <c r="H133">
        <v>0</v>
      </c>
      <c r="I133">
        <v>1</v>
      </c>
      <c r="J133">
        <v>0</v>
      </c>
      <c r="K133">
        <v>1</v>
      </c>
      <c r="L133">
        <v>0</v>
      </c>
      <c r="M133" s="3">
        <f xml:space="preserve">
58353.13397
+ 1.209015414*(C133)
+ 34.01462932*(D133)
+ 3047.928974*(E133)
+ 13439.3628*(F133)
- 12401.60265*(G133)
+ 1618.412705*(H133)
- 18491.87448*(I133)
+ 29382.28461*(J133)
+ 18098.25052*(K133)
+ 42659.1453*(L133)</f>
        <v>792859.25850928074</v>
      </c>
      <c r="N133">
        <f>B133-M133</f>
        <v>-67623.978509280714</v>
      </c>
    </row>
    <row r="134" spans="1:14">
      <c r="A134" t="s">
        <v>55</v>
      </c>
      <c r="B134">
        <v>593247.25</v>
      </c>
      <c r="C134">
        <v>52285.45</v>
      </c>
      <c r="D134">
        <v>3618</v>
      </c>
      <c r="E134">
        <v>95.6</v>
      </c>
      <c r="F134">
        <v>4.4000000000000004</v>
      </c>
      <c r="G134">
        <v>1</v>
      </c>
      <c r="H134">
        <v>0</v>
      </c>
      <c r="I134">
        <v>0</v>
      </c>
      <c r="J134">
        <v>0</v>
      </c>
      <c r="K134">
        <v>1</v>
      </c>
      <c r="L134">
        <v>0</v>
      </c>
      <c r="M134" s="3">
        <f xml:space="preserve">
58353.13397
+ 1.209015414*(C134)
+ 34.01462932*(D134)
+ 3047.928974*(E134)
+ 13439.3628*(F134)
- 12401.60265*(G134)
+ 1618.412705*(H134)
- 18491.87448*(I134)
+ 29382.28461*(J134)
+ 18098.25052*(K134)
+ 42659.1453*(L134)</f>
        <v>600843.83193208626</v>
      </c>
      <c r="N134">
        <f>B134-M134</f>
        <v>-7596.5819320862647</v>
      </c>
    </row>
    <row r="135" spans="1:14">
      <c r="A135" t="s">
        <v>55</v>
      </c>
      <c r="B135">
        <v>529075.94999999995</v>
      </c>
      <c r="C135">
        <v>70366.759999999995</v>
      </c>
      <c r="D135">
        <v>1963</v>
      </c>
      <c r="E135">
        <v>89.8</v>
      </c>
      <c r="F135">
        <v>4.5999999999999996</v>
      </c>
      <c r="G135">
        <v>1</v>
      </c>
      <c r="H135">
        <v>0</v>
      </c>
      <c r="I135">
        <v>0</v>
      </c>
      <c r="J135">
        <v>0</v>
      </c>
      <c r="K135">
        <v>1</v>
      </c>
      <c r="L135">
        <v>0</v>
      </c>
      <c r="M135" s="3">
        <f xml:space="preserve">
58353.13397
+ 1.209015414*(C135)
+ 34.01462932*(D135)
+ 3047.928974*(E135)
+ 13439.3628*(F135)
- 12401.60265*(G135)
+ 1618.412705*(H135)
- 18491.87448*(I135)
+ 29382.28461*(J135)
+ 18098.25052*(K135)
+ 42659.1453*(L135)</f>
        <v>551420.08741359855</v>
      </c>
      <c r="N135">
        <f>B135-M135</f>
        <v>-22344.137413598597</v>
      </c>
    </row>
    <row r="136" spans="1:14">
      <c r="A136" t="s">
        <v>55</v>
      </c>
      <c r="B136">
        <v>400831.65</v>
      </c>
      <c r="C136">
        <v>22071.64</v>
      </c>
      <c r="D136">
        <v>1814</v>
      </c>
      <c r="E136">
        <v>81.099999999999994</v>
      </c>
      <c r="F136">
        <v>3.9246794871794881</v>
      </c>
      <c r="G136">
        <v>1</v>
      </c>
      <c r="H136">
        <v>0</v>
      </c>
      <c r="I136">
        <v>0</v>
      </c>
      <c r="J136">
        <v>0</v>
      </c>
      <c r="K136">
        <v>1</v>
      </c>
      <c r="L136">
        <v>0</v>
      </c>
      <c r="M136" s="3">
        <f xml:space="preserve">
58353.13397
+ 1.209015414*(C136)
+ 34.01462932*(D136)
+ 3047.928974*(E136)
+ 13439.3628*(F136)
- 12401.60265*(G136)
+ 1618.412705*(H136)
- 18491.87448*(I136)
+ 29382.28461*(J136)
+ 18098.25052*(K136)
+ 42659.1453*(L136)</f>
        <v>452369.50369206199</v>
      </c>
      <c r="N136">
        <f>B136-M136</f>
        <v>-51537.853692061966</v>
      </c>
    </row>
    <row r="137" spans="1:14">
      <c r="A137" t="s">
        <v>55</v>
      </c>
      <c r="B137">
        <v>527300.13</v>
      </c>
      <c r="C137">
        <v>70276.28</v>
      </c>
      <c r="D137">
        <v>3043</v>
      </c>
      <c r="E137">
        <v>87.9</v>
      </c>
      <c r="F137">
        <v>4.4000000000000004</v>
      </c>
      <c r="G137">
        <v>1</v>
      </c>
      <c r="H137">
        <v>0</v>
      </c>
      <c r="I137">
        <v>0</v>
      </c>
      <c r="J137">
        <v>0</v>
      </c>
      <c r="K137">
        <v>1</v>
      </c>
      <c r="L137">
        <v>0</v>
      </c>
      <c r="M137" s="3">
        <f xml:space="preserve">
58353.13397
+ 1.209015414*(C137)
+ 34.01462932*(D137)
+ 3047.928974*(E137)
+ 13439.3628*(F137)
- 12401.60265*(G137)
+ 1618.412705*(H137)
- 18491.87448*(I137)
+ 29382.28461*(J137)
+ 18098.25052*(K137)
+ 42659.1453*(L137)</f>
        <v>579567.55775393988</v>
      </c>
      <c r="N137">
        <f>B137-M137</f>
        <v>-52267.427753939875</v>
      </c>
    </row>
    <row r="138" spans="1:14">
      <c r="A138" t="s">
        <v>56</v>
      </c>
      <c r="B138">
        <v>758827.64</v>
      </c>
      <c r="C138">
        <v>69779</v>
      </c>
      <c r="D138">
        <v>6544</v>
      </c>
      <c r="E138">
        <v>90.2</v>
      </c>
      <c r="F138">
        <v>3.3</v>
      </c>
      <c r="G138">
        <v>0</v>
      </c>
      <c r="H138">
        <v>1</v>
      </c>
      <c r="I138">
        <v>0</v>
      </c>
      <c r="J138">
        <v>0</v>
      </c>
      <c r="K138">
        <v>0</v>
      </c>
      <c r="L138">
        <v>0</v>
      </c>
      <c r="M138" s="3">
        <f xml:space="preserve">
58353.13397
+ 1.209015414*(C138)
+ 34.01462932*(D138)
+ 3047.928974*(E138)
+ 13439.3628*(F138)
- 12401.60265*(G138)
+ 1618.412705*(H138)
- 18491.87448*(I138)
+ 29382.28461*(J138)
+ 18098.25052*(K138)
+ 42659.1453*(L138)</f>
        <v>686200.25821338606</v>
      </c>
      <c r="N138">
        <f>B138-M138</f>
        <v>72627.381786613958</v>
      </c>
    </row>
    <row r="139" spans="1:14">
      <c r="A139" t="s">
        <v>56</v>
      </c>
      <c r="B139">
        <v>743348.84</v>
      </c>
      <c r="C139">
        <v>75109.67</v>
      </c>
      <c r="D139">
        <v>6244</v>
      </c>
      <c r="E139">
        <v>96.3</v>
      </c>
      <c r="F139">
        <v>3.7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0</v>
      </c>
      <c r="M139" s="3">
        <f xml:space="preserve">
58353.13397
+ 1.209015414*(C139)
+ 34.01462932*(D139)
+ 3047.928974*(E139)
+ 13439.3628*(F139)
- 12401.60265*(G139)
+ 1618.412705*(H139)
- 18491.87448*(I139)
+ 29382.28461*(J139)
+ 18098.25052*(K139)
+ 42659.1453*(L139)</f>
        <v>706408.84347573342</v>
      </c>
      <c r="N139">
        <f>B139-M139</f>
        <v>36939.996524266549</v>
      </c>
    </row>
    <row r="140" spans="1:14">
      <c r="A140" t="s">
        <v>56</v>
      </c>
      <c r="B140">
        <v>646559.71</v>
      </c>
      <c r="C140">
        <v>44211.95</v>
      </c>
      <c r="D140">
        <v>5465</v>
      </c>
      <c r="E140">
        <v>90</v>
      </c>
      <c r="F140">
        <v>3.6</v>
      </c>
      <c r="G140">
        <v>0</v>
      </c>
      <c r="H140">
        <v>1</v>
      </c>
      <c r="I140">
        <v>0</v>
      </c>
      <c r="J140">
        <v>0</v>
      </c>
      <c r="K140">
        <v>0</v>
      </c>
      <c r="L140">
        <v>0</v>
      </c>
      <c r="M140" s="3">
        <f xml:space="preserve">
58353.13397
+ 1.209015414*(C140)
+ 34.01462932*(D140)
+ 3047.928974*(E140)
+ 13439.3628*(F140)
- 12401.60265*(G140)
+ 1618.412705*(H140)
- 18491.87448*(I140)
+ 29382.28461*(J140)
+ 18098.25052*(K140)
+ 42659.1453*(L140)</f>
        <v>622009.73868179729</v>
      </c>
      <c r="N140">
        <f>B140-M140</f>
        <v>24549.971318202675</v>
      </c>
    </row>
    <row r="141" spans="1:14">
      <c r="A141" t="s">
        <v>56</v>
      </c>
      <c r="B141">
        <v>633638.03</v>
      </c>
      <c r="C141">
        <v>71320.66</v>
      </c>
      <c r="D141">
        <v>7888</v>
      </c>
      <c r="E141">
        <v>78.099999999999994</v>
      </c>
      <c r="F141">
        <v>3.9246794871794881</v>
      </c>
      <c r="G141">
        <v>0</v>
      </c>
      <c r="H141">
        <v>1</v>
      </c>
      <c r="I141">
        <v>0</v>
      </c>
      <c r="J141">
        <v>0</v>
      </c>
      <c r="K141">
        <v>0</v>
      </c>
      <c r="L141">
        <v>0</v>
      </c>
      <c r="M141" s="3">
        <f xml:space="preserve">
58353.13397
+ 1.209015414*(C141)
+ 34.01462932*(D141)
+ 3047.928974*(E141)
+ 13439.3628*(F141)
- 12401.60265*(G141)
+ 1618.412705*(H141)
- 18491.87448*(I141)
+ 29382.28461*(J141)
+ 18098.25052*(K141)
+ 42659.1453*(L141)</f>
        <v>705295.16439913632</v>
      </c>
      <c r="N141">
        <f>B141-M141</f>
        <v>-71657.134399136296</v>
      </c>
    </row>
    <row r="142" spans="1:14">
      <c r="A142" t="s">
        <v>57</v>
      </c>
      <c r="B142">
        <v>682639.28</v>
      </c>
      <c r="C142">
        <v>44034.6</v>
      </c>
      <c r="D142">
        <v>5645</v>
      </c>
      <c r="E142">
        <v>88.5</v>
      </c>
      <c r="F142">
        <v>3.8</v>
      </c>
      <c r="G142">
        <v>0</v>
      </c>
      <c r="H142">
        <v>0</v>
      </c>
      <c r="I142">
        <v>0</v>
      </c>
      <c r="J142">
        <v>0</v>
      </c>
      <c r="K142">
        <v>1</v>
      </c>
      <c r="L142">
        <v>0</v>
      </c>
      <c r="M142" s="3">
        <f xml:space="preserve">
58353.13397
+ 1.209015414*(C142)
+ 34.01462932*(D142)
+ 3047.928974*(E142)
+ 13439.3628*(F142)
- 12401.60265*(G142)
+ 1618.412705*(H142)
- 18491.87448*(I142)
+ 29382.28461*(J142)
+ 18098.25052*(K142)
+ 42659.1453*(L142)</f>
        <v>642513.76998972427</v>
      </c>
      <c r="N142">
        <f>B142-M142</f>
        <v>40125.510010275757</v>
      </c>
    </row>
    <row r="143" spans="1:14">
      <c r="A143" t="s">
        <v>57</v>
      </c>
      <c r="B143">
        <v>715890.53</v>
      </c>
      <c r="C143">
        <v>51430.31</v>
      </c>
      <c r="D143">
        <v>6427</v>
      </c>
      <c r="E143">
        <v>88.8</v>
      </c>
      <c r="F143">
        <v>4.0999999999999996</v>
      </c>
      <c r="G143">
        <v>0</v>
      </c>
      <c r="H143">
        <v>0</v>
      </c>
      <c r="I143">
        <v>0</v>
      </c>
      <c r="J143">
        <v>0</v>
      </c>
      <c r="K143">
        <v>1</v>
      </c>
      <c r="L143">
        <v>0</v>
      </c>
      <c r="M143" s="3">
        <f xml:space="preserve">
58353.13397
+ 1.209015414*(C143)
+ 34.01462932*(D143)
+ 3047.928974*(E143)
+ 13439.3628*(F143)
- 12401.60265*(G143)
+ 1618.412705*(H143)
- 18491.87448*(I143)
+ 29382.28461*(J143)
+ 18098.25052*(K143)
+ 42659.1453*(L143)</f>
        <v>683000.92503763828</v>
      </c>
      <c r="N143">
        <f>B143-M143</f>
        <v>32889.604962361744</v>
      </c>
    </row>
    <row r="144" spans="1:14">
      <c r="A144" t="s">
        <v>57</v>
      </c>
      <c r="B144">
        <v>695098.51</v>
      </c>
      <c r="C144">
        <v>50198.12</v>
      </c>
      <c r="D144">
        <v>6089</v>
      </c>
      <c r="E144">
        <v>94</v>
      </c>
      <c r="F144">
        <v>3.9</v>
      </c>
      <c r="G144">
        <v>0</v>
      </c>
      <c r="H144">
        <v>0</v>
      </c>
      <c r="I144">
        <v>0</v>
      </c>
      <c r="J144">
        <v>0</v>
      </c>
      <c r="K144">
        <v>1</v>
      </c>
      <c r="L144">
        <v>0</v>
      </c>
      <c r="M144" s="3">
        <f xml:space="preserve">
58353.13397
+ 1.209015414*(C144)
+ 34.01462932*(D144)
+ 3047.928974*(E144)
+ 13439.3628*(F144)
- 12401.60265*(G144)
+ 1618.412705*(H144)
- 18491.87448*(I144)
+ 29382.28461*(J144)
+ 18098.25052*(K144)
+ 42659.1453*(L144)</f>
        <v>683175.60172930174</v>
      </c>
      <c r="N144">
        <f>B144-M144</f>
        <v>11922.908270698274</v>
      </c>
    </row>
    <row r="145" spans="1:14">
      <c r="A145" t="s">
        <v>57</v>
      </c>
      <c r="B145">
        <v>715097.57</v>
      </c>
      <c r="C145">
        <v>45706.49</v>
      </c>
      <c r="D145">
        <v>6704</v>
      </c>
      <c r="E145">
        <v>94.2</v>
      </c>
      <c r="F145">
        <v>4.2</v>
      </c>
      <c r="G145">
        <v>0</v>
      </c>
      <c r="H145">
        <v>0</v>
      </c>
      <c r="I145">
        <v>0</v>
      </c>
      <c r="J145">
        <v>0</v>
      </c>
      <c r="K145">
        <v>1</v>
      </c>
      <c r="L145">
        <v>0</v>
      </c>
      <c r="M145" s="3">
        <f xml:space="preserve">
58353.13397
+ 1.209015414*(C145)
+ 34.01462932*(D145)
+ 3047.928974*(E145)
+ 13439.3628*(F145)
- 12401.60265*(G145)
+ 1618.412705*(H145)
- 18491.87448*(I145)
+ 29382.28461*(J145)
+ 18098.25052*(K145)
+ 42659.1453*(L145)</f>
        <v>703305.54349191685</v>
      </c>
      <c r="N145">
        <f>B145-M145</f>
        <v>11792.026508083101</v>
      </c>
    </row>
    <row r="146" spans="1:14">
      <c r="A146" t="s">
        <v>58</v>
      </c>
      <c r="B146">
        <v>570964.84</v>
      </c>
      <c r="C146">
        <v>60322.400000000001</v>
      </c>
      <c r="D146">
        <v>3350</v>
      </c>
      <c r="E146">
        <v>89.4</v>
      </c>
      <c r="F146">
        <v>3.4</v>
      </c>
      <c r="G146">
        <v>1</v>
      </c>
      <c r="H146">
        <v>0</v>
      </c>
      <c r="I146">
        <v>0</v>
      </c>
      <c r="J146">
        <v>0</v>
      </c>
      <c r="K146">
        <v>0</v>
      </c>
      <c r="L146">
        <v>0</v>
      </c>
      <c r="M146" s="3">
        <f xml:space="preserve">
58353.13397
+ 1.209015414*(C146)
+ 34.01462932*(D146)
+ 3047.928974*(E146)
+ 13439.3628*(F146)
- 12401.60265*(G146)
+ 1618.412705*(H146)
- 18491.87448*(I146)
+ 29382.28461*(J146)
+ 18098.25052*(K146)
+ 42659.1453*(L146)</f>
        <v>551009.93474707368</v>
      </c>
      <c r="N146">
        <f>B146-M146</f>
        <v>19954.905252926284</v>
      </c>
    </row>
    <row r="147" spans="1:14">
      <c r="A147" t="s">
        <v>58</v>
      </c>
      <c r="B147">
        <v>601568.87</v>
      </c>
      <c r="C147">
        <v>53351.7</v>
      </c>
      <c r="D147">
        <v>4259</v>
      </c>
      <c r="E147">
        <v>93.7</v>
      </c>
      <c r="F147">
        <v>3.4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  <c r="M147" s="3">
        <f xml:space="preserve">
58353.13397
+ 1.209015414*(C147)
+ 34.01462932*(D147)
+ 3047.928974*(E147)
+ 13439.3628*(F147)
- 12401.60265*(G147)
+ 1618.412705*(H147)
- 18491.87448*(I147)
+ 29382.28461*(J147)
+ 18098.25052*(K147)
+ 42659.1453*(L147)</f>
        <v>586607.64364078373</v>
      </c>
      <c r="N147">
        <f>B147-M147</f>
        <v>14961.226359216264</v>
      </c>
    </row>
    <row r="148" spans="1:14">
      <c r="A148" t="s">
        <v>58</v>
      </c>
      <c r="B148">
        <v>537058.32999999996</v>
      </c>
      <c r="C148">
        <v>50909.27</v>
      </c>
      <c r="D148">
        <v>3152</v>
      </c>
      <c r="E148">
        <v>93.7</v>
      </c>
      <c r="F148">
        <v>3.5</v>
      </c>
      <c r="G148">
        <v>1</v>
      </c>
      <c r="H148">
        <v>0</v>
      </c>
      <c r="I148">
        <v>0</v>
      </c>
      <c r="J148">
        <v>0</v>
      </c>
      <c r="K148">
        <v>0</v>
      </c>
      <c r="L148">
        <v>0</v>
      </c>
      <c r="M148" s="3">
        <f xml:space="preserve">
58353.13397
+ 1.209015414*(C148)
+ 34.01462932*(D148)
+ 3047.928974*(E148)
+ 13439.3628*(F148)
- 12401.60265*(G148)
+ 1618.412705*(H148)
- 18491.87448*(I148)
+ 29382.28461*(J148)
+ 18098.25052*(K148)
+ 42659.1453*(L148)</f>
        <v>547344.4497459277</v>
      </c>
      <c r="N148">
        <f>B148-M148</f>
        <v>-10286.119745927746</v>
      </c>
    </row>
    <row r="149" spans="1:14">
      <c r="A149" t="s">
        <v>58</v>
      </c>
      <c r="B149">
        <v>577732.56999999995</v>
      </c>
      <c r="C149">
        <v>70488.2</v>
      </c>
      <c r="D149">
        <v>4312</v>
      </c>
      <c r="E149">
        <v>90.2</v>
      </c>
      <c r="F149">
        <v>3.2</v>
      </c>
      <c r="G149">
        <v>1</v>
      </c>
      <c r="H149">
        <v>0</v>
      </c>
      <c r="I149">
        <v>0</v>
      </c>
      <c r="J149">
        <v>0</v>
      </c>
      <c r="K149">
        <v>0</v>
      </c>
      <c r="L149">
        <v>0</v>
      </c>
      <c r="M149" s="3">
        <f xml:space="preserve">
58353.13397
+ 1.209015414*(C149)
+ 34.01462932*(D149)
+ 3047.928974*(E149)
+ 13439.3628*(F149)
- 12401.60265*(G149)
+ 1618.412705*(H149)
- 18491.87448*(I149)
+ 29382.28461*(J149)
+ 18098.25052*(K149)
+ 42659.1453*(L149)</f>
        <v>595773.08766775485</v>
      </c>
      <c r="N149">
        <f>B149-M149</f>
        <v>-18040.517667754903</v>
      </c>
    </row>
    <row r="150" spans="1:14">
      <c r="A150" t="s">
        <v>59</v>
      </c>
      <c r="B150">
        <v>696744.15</v>
      </c>
      <c r="C150">
        <v>47093.55</v>
      </c>
      <c r="D150">
        <v>5550</v>
      </c>
      <c r="E150">
        <v>95</v>
      </c>
      <c r="F150">
        <v>3.7</v>
      </c>
      <c r="G150">
        <v>0</v>
      </c>
      <c r="H150">
        <v>1</v>
      </c>
      <c r="I150">
        <v>0</v>
      </c>
      <c r="J150">
        <v>1</v>
      </c>
      <c r="K150">
        <v>0</v>
      </c>
      <c r="L150">
        <v>0</v>
      </c>
      <c r="M150" s="3">
        <f xml:space="preserve">
58353.13397
+ 1.209015414*(C150)
+ 34.01462932*(D150)
+ 3047.928974*(E150)
+ 13439.3628*(F150)
- 12401.60265*(G150)
+ 1618.412705*(H150)
- 18491.87448*(I150)
+ 29382.28461*(J150)
+ 18098.25052*(K150)
+ 42659.1453*(L150)</f>
        <v>674350.7467509798</v>
      </c>
      <c r="N150">
        <f>B150-M150</f>
        <v>22393.403249020223</v>
      </c>
    </row>
    <row r="151" spans="1:14">
      <c r="A151" t="s">
        <v>59</v>
      </c>
      <c r="B151">
        <v>725847.99</v>
      </c>
      <c r="C151">
        <v>71855.09</v>
      </c>
      <c r="D151">
        <v>5911</v>
      </c>
      <c r="E151">
        <v>94.3</v>
      </c>
      <c r="F151">
        <v>4.0999999999999996</v>
      </c>
      <c r="G151">
        <v>0</v>
      </c>
      <c r="H151">
        <v>1</v>
      </c>
      <c r="I151">
        <v>0</v>
      </c>
      <c r="J151">
        <v>1</v>
      </c>
      <c r="K151">
        <v>0</v>
      </c>
      <c r="L151">
        <v>0</v>
      </c>
      <c r="M151" s="3">
        <f xml:space="preserve">
58353.13397
+ 1.209015414*(C151)
+ 34.01462932*(D151)
+ 3047.928974*(E151)
+ 13439.3628*(F151)
- 12401.60265*(G151)
+ 1618.412705*(H151)
- 18491.87448*(I151)
+ 29382.28461*(J151)
+ 18098.25052*(K151)
+ 42659.1453*(L151)</f>
        <v>719809.30630807718</v>
      </c>
      <c r="N151">
        <f>B151-M151</f>
        <v>6038.6836919228081</v>
      </c>
    </row>
    <row r="152" spans="1:14">
      <c r="A152" t="s">
        <v>59</v>
      </c>
      <c r="B152">
        <v>712868.35</v>
      </c>
      <c r="C152">
        <v>43319.94</v>
      </c>
      <c r="D152">
        <v>6551</v>
      </c>
      <c r="E152">
        <v>99</v>
      </c>
      <c r="F152">
        <v>4.0999999999999996</v>
      </c>
      <c r="G152">
        <v>0</v>
      </c>
      <c r="H152">
        <v>1</v>
      </c>
      <c r="I152">
        <v>0</v>
      </c>
      <c r="J152">
        <v>1</v>
      </c>
      <c r="K152">
        <v>0</v>
      </c>
      <c r="L152">
        <v>0</v>
      </c>
      <c r="M152" s="3">
        <f xml:space="preserve">
58353.13397
+ 1.209015414*(C152)
+ 34.01462932*(D152)
+ 3047.928974*(E152)
+ 13439.3628*(F152)
- 12401.60265*(G152)
+ 1618.412705*(H152)
- 18491.87448*(I152)
+ 29382.28461*(J152)
+ 18098.25052*(K152)
+ 42659.1453*(L152)</f>
        <v>721404.49905987515</v>
      </c>
      <c r="N152">
        <f>B152-M152</f>
        <v>-8536.1490598751698</v>
      </c>
    </row>
    <row r="153" spans="1:14">
      <c r="A153" t="s">
        <v>59</v>
      </c>
      <c r="B153">
        <v>614024.91</v>
      </c>
      <c r="C153">
        <v>51575.68</v>
      </c>
      <c r="D153">
        <v>5329</v>
      </c>
      <c r="E153">
        <v>88.1</v>
      </c>
      <c r="F153">
        <v>3.8</v>
      </c>
      <c r="G153">
        <v>0</v>
      </c>
      <c r="H153">
        <v>1</v>
      </c>
      <c r="I153">
        <v>0</v>
      </c>
      <c r="J153">
        <v>1</v>
      </c>
      <c r="K153">
        <v>0</v>
      </c>
      <c r="L153">
        <v>0</v>
      </c>
      <c r="M153" s="3">
        <f xml:space="preserve">
58353.13397
+ 1.209015414*(C153)
+ 34.01462932*(D153)
+ 3047.928974*(E153)
+ 13439.3628*(F153)
- 12401.60265*(G153)
+ 1618.412705*(H153)
- 18491.87448*(I153)
+ 29382.28461*(J153)
+ 18098.25052*(K153)
+ 42659.1453*(L153)</f>
        <v>652565.70428821142</v>
      </c>
      <c r="N153">
        <f>B153-M153</f>
        <v>-38540.794288211386</v>
      </c>
    </row>
    <row r="154" spans="1:14">
      <c r="A154" t="s">
        <v>60</v>
      </c>
      <c r="B154">
        <v>698492.67</v>
      </c>
      <c r="C154">
        <v>64374.75</v>
      </c>
      <c r="D154">
        <v>6740</v>
      </c>
      <c r="E154">
        <v>87</v>
      </c>
      <c r="F154">
        <v>4.2</v>
      </c>
      <c r="G154">
        <v>0</v>
      </c>
      <c r="H154">
        <v>0</v>
      </c>
      <c r="I154">
        <v>1</v>
      </c>
      <c r="J154">
        <v>0</v>
      </c>
      <c r="K154">
        <v>1</v>
      </c>
      <c r="L154">
        <v>0</v>
      </c>
      <c r="M154" s="3">
        <f xml:space="preserve">
58353.13397
+ 1.209015414*(C154)
+ 34.01462932*(D154)
+ 3047.928974*(E154)
+ 13439.3628*(F154)
- 12401.60265*(G154)
+ 1618.412705*(H154)
- 18491.87448*(I154)
+ 29382.28461*(J154)
+ 18098.25052*(K154)
+ 42659.1453*(L154)</f>
        <v>686663.32114719646</v>
      </c>
      <c r="N154">
        <f>B154-M154</f>
        <v>11829.348852803581</v>
      </c>
    </row>
    <row r="155" spans="1:14">
      <c r="A155" t="s">
        <v>60</v>
      </c>
      <c r="B155">
        <v>702318.94</v>
      </c>
      <c r="C155">
        <v>42698.14</v>
      </c>
      <c r="D155">
        <v>7693</v>
      </c>
      <c r="E155">
        <v>90.1</v>
      </c>
      <c r="F155">
        <v>4.4000000000000004</v>
      </c>
      <c r="G155">
        <v>0</v>
      </c>
      <c r="H155">
        <v>0</v>
      </c>
      <c r="I155">
        <v>1</v>
      </c>
      <c r="J155">
        <v>0</v>
      </c>
      <c r="K155">
        <v>1</v>
      </c>
      <c r="L155">
        <v>0</v>
      </c>
      <c r="M155" s="3">
        <f xml:space="preserve">
58353.13397
+ 1.209015414*(C155)
+ 34.01462932*(D155)
+ 3047.928974*(E155)
+ 13439.3628*(F155)
- 12401.60265*(G155)
+ 1618.412705*(H155)
- 18491.87448*(I155)
+ 29382.28461*(J155)
+ 18098.25052*(K155)
+ 42659.1453*(L155)</f>
        <v>705008.35965528991</v>
      </c>
      <c r="N155">
        <f>B155-M155</f>
        <v>-2689.4196552899666</v>
      </c>
    </row>
    <row r="156" spans="1:14">
      <c r="A156" t="s">
        <v>60</v>
      </c>
      <c r="B156">
        <v>785028.25</v>
      </c>
      <c r="C156">
        <v>75645.23</v>
      </c>
      <c r="D156">
        <v>9674</v>
      </c>
      <c r="E156">
        <v>87.4</v>
      </c>
      <c r="F156">
        <v>4.5</v>
      </c>
      <c r="G156">
        <v>0</v>
      </c>
      <c r="H156">
        <v>0</v>
      </c>
      <c r="I156">
        <v>1</v>
      </c>
      <c r="J156">
        <v>0</v>
      </c>
      <c r="K156">
        <v>1</v>
      </c>
      <c r="L156">
        <v>0</v>
      </c>
      <c r="M156" s="3">
        <f xml:space="preserve">
58353.13397
+ 1.209015414*(C156)
+ 34.01462932*(D156)
+ 3047.928974*(E156)
+ 13439.3628*(F156)
- 12401.60265*(G156)
+ 1618.412705*(H156)
- 18491.87448*(I156)
+ 29382.28461*(J156)
+ 18098.25052*(K156)
+ 42659.1453*(L156)</f>
        <v>805339.40804485523</v>
      </c>
      <c r="N156">
        <f>B156-M156</f>
        <v>-20311.158044855227</v>
      </c>
    </row>
    <row r="157" spans="1:14">
      <c r="A157" t="s">
        <v>60</v>
      </c>
      <c r="B157">
        <v>685830.24</v>
      </c>
      <c r="C157">
        <v>61433.84</v>
      </c>
      <c r="D157">
        <v>7745</v>
      </c>
      <c r="E157">
        <v>90.5</v>
      </c>
      <c r="F157">
        <v>4.2</v>
      </c>
      <c r="G157">
        <v>0</v>
      </c>
      <c r="H157">
        <v>0</v>
      </c>
      <c r="I157">
        <v>1</v>
      </c>
      <c r="J157">
        <v>0</v>
      </c>
      <c r="K157">
        <v>1</v>
      </c>
      <c r="L157">
        <v>0</v>
      </c>
      <c r="M157" s="3">
        <f xml:space="preserve">
58353.13397
+ 1.209015414*(C157)
+ 34.01462932*(D157)
+ 3047.928974*(E157)
+ 13439.3628*(F157)
- 12401.60265*(G157)
+ 1618.412705*(H157)
- 18491.87448*(I157)
+ 29382.28461*(J157)
+ 18098.25052*(K157)
+ 42659.1453*(L157)</f>
        <v>727960.16950160987</v>
      </c>
      <c r="N157">
        <f>B157-M157</f>
        <v>-42129.929501609877</v>
      </c>
    </row>
    <row r="158" spans="1:14">
      <c r="A158" t="s">
        <v>61</v>
      </c>
      <c r="B158">
        <v>724216.07</v>
      </c>
      <c r="C158">
        <v>56918.16</v>
      </c>
      <c r="D158">
        <v>7015</v>
      </c>
      <c r="E158">
        <v>74.2</v>
      </c>
      <c r="F158">
        <v>3.4</v>
      </c>
      <c r="G158">
        <v>1</v>
      </c>
      <c r="H158">
        <v>0</v>
      </c>
      <c r="I158">
        <v>0</v>
      </c>
      <c r="J158">
        <v>1</v>
      </c>
      <c r="K158">
        <v>0</v>
      </c>
      <c r="L158">
        <v>0</v>
      </c>
      <c r="M158" s="3">
        <f xml:space="preserve">
58353.13397
+ 1.209015414*(C158)
+ 34.01462932*(D158)
+ 3047.928974*(E158)
+ 13439.3628*(F158)
- 12401.60265*(G158)
+ 1618.412705*(H158)
- 18491.87448*(I158)
+ 29382.28461*(J158)
+ 18098.25052*(K158)
+ 42659.1453*(L158)</f>
        <v>654611.53677711822</v>
      </c>
      <c r="N158">
        <f>B158-M158</f>
        <v>69604.533222881728</v>
      </c>
    </row>
    <row r="159" spans="1:14">
      <c r="A159" t="s">
        <v>61</v>
      </c>
      <c r="B159">
        <v>620973.03</v>
      </c>
      <c r="C159">
        <v>23254.57</v>
      </c>
      <c r="D159">
        <v>3847</v>
      </c>
      <c r="E159">
        <v>93</v>
      </c>
      <c r="F159">
        <v>3.3</v>
      </c>
      <c r="G159">
        <v>1</v>
      </c>
      <c r="H159">
        <v>0</v>
      </c>
      <c r="I159">
        <v>0</v>
      </c>
      <c r="J159">
        <v>1</v>
      </c>
      <c r="K159">
        <v>0</v>
      </c>
      <c r="L159">
        <v>0</v>
      </c>
      <c r="M159" s="3">
        <f xml:space="preserve">
58353.13397
+ 1.209015414*(C159)
+ 34.01462932*(D159)
+ 3047.928974*(E159)
+ 13439.3628*(F159)
- 12401.60265*(G159)
+ 1618.412705*(H159)
- 18491.87448*(I159)
+ 29382.28461*(J159)
+ 18098.25052*(K159)
+ 42659.1453*(L159)</f>
        <v>562110.52032198186</v>
      </c>
      <c r="N159">
        <f>B159-M159</f>
        <v>58862.509678018163</v>
      </c>
    </row>
    <row r="160" spans="1:14">
      <c r="A160" t="s">
        <v>61</v>
      </c>
      <c r="B160">
        <v>700078.32</v>
      </c>
      <c r="C160">
        <v>86883.31</v>
      </c>
      <c r="D160">
        <v>6424</v>
      </c>
      <c r="E160">
        <v>85.2</v>
      </c>
      <c r="F160">
        <v>3.9</v>
      </c>
      <c r="G160">
        <v>1</v>
      </c>
      <c r="H160">
        <v>0</v>
      </c>
      <c r="I160">
        <v>0</v>
      </c>
      <c r="J160">
        <v>1</v>
      </c>
      <c r="K160">
        <v>0</v>
      </c>
      <c r="L160">
        <v>0</v>
      </c>
      <c r="M160" s="3">
        <f xml:space="preserve">
58353.13397
+ 1.209015414*(C160)
+ 34.01462932*(D160)
+ 3047.928974*(E160)
+ 13439.3628*(F160)
- 12401.60265*(G160)
+ 1618.412705*(H160)
- 18491.87448*(I160)
+ 29382.28461*(J160)
+ 18098.25052*(K160)
+ 42659.1453*(L160)</f>
        <v>710984.1191958203</v>
      </c>
      <c r="N160">
        <f>B160-M160</f>
        <v>-10905.799195820349</v>
      </c>
    </row>
    <row r="161" spans="1:14">
      <c r="A161" t="s">
        <v>61</v>
      </c>
      <c r="B161">
        <v>602002.31999999995</v>
      </c>
      <c r="C161">
        <v>41863.08</v>
      </c>
      <c r="D161">
        <v>5400</v>
      </c>
      <c r="E161">
        <v>91.6</v>
      </c>
      <c r="F161">
        <v>3</v>
      </c>
      <c r="G161">
        <v>1</v>
      </c>
      <c r="H161">
        <v>0</v>
      </c>
      <c r="I161">
        <v>0</v>
      </c>
      <c r="J161">
        <v>1</v>
      </c>
      <c r="K161">
        <v>0</v>
      </c>
      <c r="L161">
        <v>0</v>
      </c>
      <c r="M161" s="3">
        <f xml:space="preserve">
58353.13397
+ 1.209015414*(C161)
+ 34.01462932*(D161)
+ 3047.928974*(E161)
+ 13439.3628*(F161)
- 12401.60265*(G161)
+ 1618.412705*(H161)
- 18491.87448*(I161)
+ 29382.28461*(J161)
+ 18098.25052*(K161)
+ 42659.1453*(L161)</f>
        <v>629134.30567391496</v>
      </c>
      <c r="N161">
        <f>B161-M161</f>
        <v>-27131.985673915013</v>
      </c>
    </row>
    <row r="162" spans="1:14">
      <c r="A162" t="s">
        <v>62</v>
      </c>
      <c r="B162">
        <v>778298.88</v>
      </c>
      <c r="C162">
        <v>48438.85</v>
      </c>
      <c r="D162">
        <v>6992</v>
      </c>
      <c r="E162">
        <v>91</v>
      </c>
      <c r="F162">
        <v>4.2</v>
      </c>
      <c r="G162">
        <v>0</v>
      </c>
      <c r="H162">
        <v>1</v>
      </c>
      <c r="I162">
        <v>0</v>
      </c>
      <c r="J162">
        <v>0</v>
      </c>
      <c r="K162">
        <v>1</v>
      </c>
      <c r="L162">
        <v>0</v>
      </c>
      <c r="M162" s="3">
        <f xml:space="preserve">
58353.13397
+ 1.209015414*(C162)
+ 34.01462932*(D162)
+ 3047.928974*(E162)
+ 13439.3628*(F162)
- 12401.60265*(G162)
+ 1618.412705*(H162)
- 18491.87448*(I162)
+ 29382.28461*(J162)
+ 18098.25052*(K162)
+ 42659.1453*(L162)</f>
        <v>708270.26208087394</v>
      </c>
      <c r="N162">
        <f>B162-M162</f>
        <v>70028.61791912606</v>
      </c>
    </row>
    <row r="163" spans="1:14">
      <c r="A163" t="s">
        <v>62</v>
      </c>
      <c r="B163">
        <v>692008.64</v>
      </c>
      <c r="C163">
        <v>66870.62</v>
      </c>
      <c r="D163">
        <v>6055</v>
      </c>
      <c r="E163">
        <v>93.8</v>
      </c>
      <c r="F163">
        <v>4.3</v>
      </c>
      <c r="G163">
        <v>0</v>
      </c>
      <c r="H163">
        <v>1</v>
      </c>
      <c r="I163">
        <v>0</v>
      </c>
      <c r="J163">
        <v>0</v>
      </c>
      <c r="K163">
        <v>1</v>
      </c>
      <c r="L163">
        <v>0</v>
      </c>
      <c r="M163" s="3">
        <f xml:space="preserve">
58353.13397
+ 1.209015414*(C163)
+ 34.01462932*(D163)
+ 3047.928974*(E163)
+ 13439.3628*(F163)
- 12401.60265*(G163)
+ 1618.412705*(H163)
- 18491.87448*(I163)
+ 29382.28461*(J163)
+ 18098.25052*(K163)
+ 42659.1453*(L163)</f>
        <v>708560.98585253663</v>
      </c>
      <c r="N163">
        <f>B163-M163</f>
        <v>-16552.345852536615</v>
      </c>
    </row>
    <row r="164" spans="1:14">
      <c r="A164" t="s">
        <v>62</v>
      </c>
      <c r="B164">
        <v>677096.71</v>
      </c>
      <c r="C164">
        <v>57143.3</v>
      </c>
      <c r="D164">
        <v>8038</v>
      </c>
      <c r="E164">
        <v>72.599999999999994</v>
      </c>
      <c r="F164">
        <v>4.2</v>
      </c>
      <c r="G164">
        <v>0</v>
      </c>
      <c r="H164">
        <v>1</v>
      </c>
      <c r="I164">
        <v>0</v>
      </c>
      <c r="J164">
        <v>0</v>
      </c>
      <c r="K164">
        <v>1</v>
      </c>
      <c r="L164">
        <v>0</v>
      </c>
      <c r="M164" s="3">
        <f xml:space="preserve">
58353.13397
+ 1.209015414*(C164)
+ 34.01462932*(D164)
+ 3047.928974*(E164)
+ 13439.3628*(F164)
- 12401.60265*(G164)
+ 1618.412705*(H164)
- 18491.87448*(I164)
+ 29382.28461*(J164)
+ 18098.25052*(K164)
+ 42659.1453*(L164)</f>
        <v>698291.48544838629</v>
      </c>
      <c r="N164">
        <f>B164-M164</f>
        <v>-21194.775448386325</v>
      </c>
    </row>
    <row r="165" spans="1:14">
      <c r="A165" t="s">
        <v>62</v>
      </c>
      <c r="B165">
        <v>650480.06000000006</v>
      </c>
      <c r="C165">
        <v>41443.410000000003</v>
      </c>
      <c r="D165">
        <v>7455</v>
      </c>
      <c r="E165">
        <v>90.1</v>
      </c>
      <c r="F165">
        <v>4</v>
      </c>
      <c r="G165">
        <v>0</v>
      </c>
      <c r="H165">
        <v>1</v>
      </c>
      <c r="I165">
        <v>0</v>
      </c>
      <c r="J165">
        <v>0</v>
      </c>
      <c r="K165">
        <v>1</v>
      </c>
      <c r="L165">
        <v>0</v>
      </c>
      <c r="M165" s="3">
        <f xml:space="preserve">
58353.13397
+ 1.209015414*(C165)
+ 34.01462932*(D165)
+ 3047.928974*(E165)
+ 13439.3628*(F165)
- 12401.60265*(G165)
+ 1618.412705*(H165)
- 18491.87448*(I165)
+ 29382.28461*(J165)
+ 18098.25052*(K165)
+ 42659.1453*(L165)</f>
        <v>710130.43203172169</v>
      </c>
      <c r="N165">
        <f>B165-M165</f>
        <v>-59650.372031721636</v>
      </c>
    </row>
    <row r="166" spans="1:14">
      <c r="A166" t="s">
        <v>63</v>
      </c>
      <c r="B166">
        <v>825797.91</v>
      </c>
      <c r="C166">
        <v>72150.53</v>
      </c>
      <c r="D166">
        <v>9323</v>
      </c>
      <c r="E166">
        <v>82.9</v>
      </c>
      <c r="F166">
        <v>4.3</v>
      </c>
      <c r="G166">
        <v>1</v>
      </c>
      <c r="H166">
        <v>0</v>
      </c>
      <c r="I166">
        <v>0</v>
      </c>
      <c r="J166">
        <v>1</v>
      </c>
      <c r="K166">
        <v>0</v>
      </c>
      <c r="L166">
        <v>0</v>
      </c>
      <c r="M166" s="3">
        <f xml:space="preserve">
58353.13397
+ 1.209015414*(C166)
+ 34.01462932*(D166)
+ 3047.928974*(E166)
+ 13439.3628*(F166)
- 12401.60265*(G166)
+ 1618.412705*(H166)
- 18491.87448*(I166)
+ 29382.28461*(J166)
+ 18098.25052*(K166)
+ 42659.1453*(L166)</f>
        <v>790145.87996322929</v>
      </c>
      <c r="N166">
        <f>B166-M166</f>
        <v>35652.030036770739</v>
      </c>
    </row>
    <row r="167" spans="1:14">
      <c r="A167" t="s">
        <v>63</v>
      </c>
      <c r="B167">
        <v>820729.29</v>
      </c>
      <c r="C167">
        <v>78432.14</v>
      </c>
      <c r="D167">
        <v>9440</v>
      </c>
      <c r="E167">
        <v>89.2</v>
      </c>
      <c r="F167">
        <v>4.0999999999999996</v>
      </c>
      <c r="G167">
        <v>1</v>
      </c>
      <c r="H167">
        <v>0</v>
      </c>
      <c r="I167">
        <v>0</v>
      </c>
      <c r="J167">
        <v>1</v>
      </c>
      <c r="K167">
        <v>0</v>
      </c>
      <c r="L167">
        <v>0</v>
      </c>
      <c r="M167" s="3">
        <f xml:space="preserve">
58353.13397
+ 1.209015414*(C167)
+ 34.01462932*(D167)
+ 3047.928974*(E167)
+ 13439.3628*(F167)
- 12401.60265*(G167)
+ 1618.412705*(H167)
- 18491.87448*(I167)
+ 29382.28461*(J167)
+ 18098.25052*(K167)
+ 42659.1453*(L167)</f>
        <v>818234.23488460598</v>
      </c>
      <c r="N167">
        <f>B167-M167</f>
        <v>2495.0551153940614</v>
      </c>
    </row>
    <row r="168" spans="1:14">
      <c r="A168" t="s">
        <v>63</v>
      </c>
      <c r="B168">
        <v>665534.69999999995</v>
      </c>
      <c r="C168">
        <v>30301.86</v>
      </c>
      <c r="D168">
        <v>6939</v>
      </c>
      <c r="E168">
        <v>90.3</v>
      </c>
      <c r="F168">
        <v>4</v>
      </c>
      <c r="G168">
        <v>1</v>
      </c>
      <c r="H168">
        <v>0</v>
      </c>
      <c r="I168">
        <v>0</v>
      </c>
      <c r="J168">
        <v>1</v>
      </c>
      <c r="K168">
        <v>0</v>
      </c>
      <c r="L168">
        <v>0</v>
      </c>
      <c r="M168" s="3">
        <f xml:space="preserve">
58353.13397
+ 1.209015414*(C168)
+ 34.01462932*(D168)
+ 3047.928974*(E168)
+ 13439.3628*(F168)
- 12401.60265*(G168)
+ 1618.412705*(H168)
- 18491.87448*(I168)
+ 29382.28461*(J168)
+ 18098.25052*(K168)
+ 42659.1453*(L168)</f>
        <v>676982.18214654992</v>
      </c>
      <c r="N168">
        <f>B168-M168</f>
        <v>-11447.48214654997</v>
      </c>
    </row>
    <row r="169" spans="1:14">
      <c r="A169" t="s">
        <v>63</v>
      </c>
      <c r="B169">
        <v>706285.52</v>
      </c>
      <c r="C169">
        <v>35303.300000000003</v>
      </c>
      <c r="D169">
        <v>8789</v>
      </c>
      <c r="E169">
        <v>86.1</v>
      </c>
      <c r="F169">
        <v>4.2</v>
      </c>
      <c r="G169">
        <v>1</v>
      </c>
      <c r="H169">
        <v>0</v>
      </c>
      <c r="I169">
        <v>0</v>
      </c>
      <c r="J169">
        <v>1</v>
      </c>
      <c r="K169">
        <v>0</v>
      </c>
      <c r="L169">
        <v>0</v>
      </c>
      <c r="M169" s="3">
        <f xml:space="preserve">
58353.13397
+ 1.209015414*(C169)
+ 34.01462932*(D169)
+ 3047.928974*(E169)
+ 13439.3628*(F169)
- 12401.60265*(G169)
+ 1618.412705*(H169)
- 18491.87448*(I169)
+ 29382.28461*(J169)
+ 18098.25052*(K169)
+ 42659.1453*(L169)</f>
        <v>735842.63530994626</v>
      </c>
      <c r="N169">
        <f>B169-M169</f>
        <v>-29557.115309946239</v>
      </c>
    </row>
    <row r="170" spans="1:14">
      <c r="A170" t="s">
        <v>64</v>
      </c>
      <c r="B170">
        <v>769702.76</v>
      </c>
      <c r="C170">
        <v>50825.08</v>
      </c>
      <c r="D170">
        <v>8949</v>
      </c>
      <c r="E170">
        <v>84.7</v>
      </c>
      <c r="F170">
        <v>4.9000000000000004</v>
      </c>
      <c r="G170">
        <v>0</v>
      </c>
      <c r="H170">
        <v>0</v>
      </c>
      <c r="I170">
        <v>1</v>
      </c>
      <c r="J170">
        <v>0</v>
      </c>
      <c r="K170">
        <v>0</v>
      </c>
      <c r="L170">
        <v>0</v>
      </c>
      <c r="M170" s="3">
        <f xml:space="preserve">
58353.13397
+ 1.209015414*(C170)
+ 34.01462932*(D170)
+ 3047.928974*(E170)
+ 13439.3628*(F170)
- 12401.60265*(G170)
+ 1618.412705*(H170)
- 18491.87448*(I170)
+ 29382.28461*(J170)
+ 18098.25052*(K170)
+ 42659.1453*(L170)</f>
        <v>729718.94423026312</v>
      </c>
      <c r="N170">
        <f>B170-M170</f>
        <v>39983.815769736888</v>
      </c>
    </row>
    <row r="171" spans="1:14">
      <c r="A171" t="s">
        <v>64</v>
      </c>
      <c r="B171">
        <v>679731.57</v>
      </c>
      <c r="C171">
        <v>36606.51</v>
      </c>
      <c r="D171">
        <v>7671</v>
      </c>
      <c r="E171">
        <v>89.8</v>
      </c>
      <c r="F171">
        <v>4.4000000000000004</v>
      </c>
      <c r="G171">
        <v>0</v>
      </c>
      <c r="H171">
        <v>0</v>
      </c>
      <c r="I171">
        <v>1</v>
      </c>
      <c r="J171">
        <v>0</v>
      </c>
      <c r="K171">
        <v>0</v>
      </c>
      <c r="L171">
        <v>0</v>
      </c>
      <c r="M171" s="3">
        <f xml:space="preserve">
58353.13397
+ 1.209015414*(C171)
+ 34.01462932*(D171)
+ 3047.928974*(E171)
+ 13439.3628*(F171)
- 12401.60265*(G171)
+ 1618.412705*(H171)
- 18491.87448*(I171)
+ 29382.28461*(J171)
+ 18098.25052*(K171)
+ 42659.1453*(L171)</f>
        <v>677882.53403166507</v>
      </c>
      <c r="N171">
        <f>B171-M171</f>
        <v>1849.0359683348797</v>
      </c>
    </row>
    <row r="172" spans="1:14">
      <c r="A172" t="s">
        <v>64</v>
      </c>
      <c r="B172">
        <v>739831.73</v>
      </c>
      <c r="C172">
        <v>62059.18</v>
      </c>
      <c r="D172">
        <v>9374</v>
      </c>
      <c r="E172">
        <v>87.1</v>
      </c>
      <c r="F172">
        <v>4.9000000000000004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 s="3">
        <f xml:space="preserve">
58353.13397
+ 1.209015414*(C172)
+ 34.01462932*(D172)
+ 3047.928974*(E172)
+ 13439.3628*(F172)
- 12401.60265*(G172)
+ 1618.412705*(H172)
- 18491.87448*(I172)
+ 29382.28461*(J172)
+ 18098.25052*(K172)
+ 42659.1453*(L172)</f>
        <v>765072.39129128051</v>
      </c>
      <c r="N172">
        <f>B172-M172</f>
        <v>-25240.661291280529</v>
      </c>
    </row>
    <row r="173" spans="1:14">
      <c r="A173" t="s">
        <v>64</v>
      </c>
      <c r="B173">
        <v>593637.14</v>
      </c>
      <c r="C173">
        <v>32834.480000000003</v>
      </c>
      <c r="D173">
        <v>7576</v>
      </c>
      <c r="E173">
        <v>84.1</v>
      </c>
      <c r="F173">
        <v>5</v>
      </c>
      <c r="G173">
        <v>0</v>
      </c>
      <c r="H173">
        <v>0</v>
      </c>
      <c r="I173">
        <v>1</v>
      </c>
      <c r="J173">
        <v>0</v>
      </c>
      <c r="K173">
        <v>0</v>
      </c>
      <c r="L173">
        <v>0</v>
      </c>
      <c r="M173" s="3">
        <f xml:space="preserve">
58353.13397
+ 1.209015414*(C173)
+ 34.01462932*(D173)
+ 3047.928974*(E173)
+ 13439.3628*(F173)
- 12401.60265*(G173)
+ 1618.412705*(H173)
- 18491.87448*(I173)
+ 29382.28461*(J173)
+ 18098.25052*(K173)
+ 42659.1453*(L173)</f>
        <v>660781.12436239468</v>
      </c>
      <c r="N173">
        <f>B173-M173</f>
        <v>-67143.984362394665</v>
      </c>
    </row>
    <row r="174" spans="1:14">
      <c r="A174" t="s">
        <v>65</v>
      </c>
      <c r="B174">
        <v>780344.18</v>
      </c>
      <c r="C174">
        <v>65237.79</v>
      </c>
      <c r="D174">
        <v>8741</v>
      </c>
      <c r="E174">
        <v>94.4</v>
      </c>
      <c r="F174">
        <v>3.3</v>
      </c>
      <c r="G174">
        <v>0</v>
      </c>
      <c r="H174">
        <v>0</v>
      </c>
      <c r="I174">
        <v>1</v>
      </c>
      <c r="J174">
        <v>0</v>
      </c>
      <c r="K174">
        <v>0</v>
      </c>
      <c r="L174">
        <v>0</v>
      </c>
      <c r="M174" s="3">
        <f xml:space="preserve">
58353.13397
+ 1.209015414*(C174)
+ 34.01462932*(D174)
+ 3047.928974*(E174)
+ 13439.3628*(F174)
- 12401.60265*(G174)
+ 1618.412705*(H174)
- 18491.87448*(I174)
+ 29382.28461*(J174)
+ 18098.25052*(K174)
+ 42659.1453*(L174)</f>
        <v>748131.02044701495</v>
      </c>
      <c r="N174">
        <f>B174-M174</f>
        <v>32213.159552985104</v>
      </c>
    </row>
    <row r="175" spans="1:14">
      <c r="A175" t="s">
        <v>65</v>
      </c>
      <c r="B175">
        <v>804264</v>
      </c>
      <c r="C175">
        <v>63043.94</v>
      </c>
      <c r="D175">
        <v>10402</v>
      </c>
      <c r="E175">
        <v>93.9</v>
      </c>
      <c r="F175">
        <v>3.1</v>
      </c>
      <c r="G175">
        <v>0</v>
      </c>
      <c r="H175">
        <v>0</v>
      </c>
      <c r="I175">
        <v>1</v>
      </c>
      <c r="J175">
        <v>0</v>
      </c>
      <c r="K175">
        <v>0</v>
      </c>
      <c r="L175">
        <v>0</v>
      </c>
      <c r="M175" s="3">
        <f xml:space="preserve">
58353.13397
+ 1.209015414*(C175)
+ 34.01462932*(D175)
+ 3047.928974*(E175)
+ 13439.3628*(F175)
- 12401.60265*(G175)
+ 1618.412705*(H175)
- 18491.87448*(I175)
+ 29382.28461*(J175)
+ 18098.25052*(K175)
+ 42659.1453*(L175)</f>
        <v>797765.08423453115</v>
      </c>
      <c r="N175">
        <f>B175-M175</f>
        <v>6498.9157654688461</v>
      </c>
    </row>
    <row r="176" spans="1:14">
      <c r="A176" t="s">
        <v>65</v>
      </c>
      <c r="B176">
        <v>758138.29</v>
      </c>
      <c r="C176">
        <v>68040.149999999994</v>
      </c>
      <c r="D176">
        <v>9826</v>
      </c>
      <c r="E176">
        <v>83.9</v>
      </c>
      <c r="F176">
        <v>3.6</v>
      </c>
      <c r="G176">
        <v>0</v>
      </c>
      <c r="H176">
        <v>0</v>
      </c>
      <c r="I176">
        <v>1</v>
      </c>
      <c r="J176">
        <v>0</v>
      </c>
      <c r="K176">
        <v>0</v>
      </c>
      <c r="L176">
        <v>0</v>
      </c>
      <c r="M176" s="3">
        <f xml:space="preserve">
58353.13397
+ 1.209015414*(C176)
+ 34.01462932*(D176)
+ 3047.928974*(E176)
+ 13439.3628*(F176)
- 12401.60265*(G176)
+ 1618.412705*(H176)
- 18491.87448*(I176)
+ 29382.28461*(J176)
+ 18098.25052*(K176)
+ 42659.1453*(L176)</f>
        <v>760453.54430779209</v>
      </c>
      <c r="N176">
        <f>B176-M176</f>
        <v>-2315.2543077920564</v>
      </c>
    </row>
    <row r="177" spans="1:14">
      <c r="A177" t="s">
        <v>65</v>
      </c>
      <c r="B177">
        <v>721364.11</v>
      </c>
      <c r="C177">
        <v>43645.98</v>
      </c>
      <c r="D177">
        <v>9480</v>
      </c>
      <c r="E177">
        <v>89</v>
      </c>
      <c r="F177">
        <v>3.1</v>
      </c>
      <c r="G177">
        <v>0</v>
      </c>
      <c r="H177">
        <v>0</v>
      </c>
      <c r="I177">
        <v>1</v>
      </c>
      <c r="J177">
        <v>0</v>
      </c>
      <c r="K177">
        <v>0</v>
      </c>
      <c r="L177">
        <v>0</v>
      </c>
      <c r="M177" s="3">
        <f xml:space="preserve">
58353.13397
+ 1.209015414*(C177)
+ 34.01462932*(D177)
+ 3047.928974*(E177)
+ 13439.3628*(F177)
- 12401.60265*(G177)
+ 1618.412705*(H177)
- 18491.87448*(I177)
+ 29382.28461*(J177)
+ 18098.25052*(K177)
+ 42659.1453*(L177)</f>
        <v>728016.31138873566</v>
      </c>
      <c r="N177">
        <f>B177-M177</f>
        <v>-6652.2013887356734</v>
      </c>
    </row>
    <row r="178" spans="1:14">
      <c r="A178" t="s">
        <v>66</v>
      </c>
      <c r="B178">
        <v>783582</v>
      </c>
      <c r="C178">
        <v>29389.32</v>
      </c>
      <c r="D178">
        <v>7925</v>
      </c>
      <c r="E178">
        <v>90.9</v>
      </c>
      <c r="F178">
        <v>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1</v>
      </c>
      <c r="M178" s="3">
        <f xml:space="preserve">
58353.13397
+ 1.209015414*(C178)
+ 34.01462932*(D178)
+ 3047.928974*(E178)
+ 13439.3628*(F178)
- 12401.60265*(G178)
+ 1618.412705*(H178)
- 18491.87448*(I178)
+ 29382.28461*(J178)
+ 18098.25052*(K178)
+ 42659.1453*(L178)</f>
        <v>736924.55245457846</v>
      </c>
      <c r="N178">
        <f>B178-M178</f>
        <v>46657.447545421543</v>
      </c>
    </row>
    <row r="179" spans="1:14">
      <c r="A179" t="s">
        <v>66</v>
      </c>
      <c r="B179">
        <v>898031.04</v>
      </c>
      <c r="C179">
        <v>74881.56</v>
      </c>
      <c r="D179">
        <v>9999</v>
      </c>
      <c r="E179">
        <v>89.6</v>
      </c>
      <c r="F179">
        <v>4.0999999999999996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1</v>
      </c>
      <c r="M179" s="3">
        <f xml:space="preserve">
58353.13397
+ 1.209015414*(C179)
+ 34.01462932*(D179)
+ 3047.928974*(E179)
+ 13439.3628*(F179)
- 12401.60265*(G179)
+ 1618.412705*(H179)
- 18491.87448*(I179)
+ 29382.28461*(J179)
+ 18098.25052*(K179)
+ 42659.1453*(L179)</f>
        <v>859853.34165544575</v>
      </c>
      <c r="N179">
        <f>B179-M179</f>
        <v>38177.698344554286</v>
      </c>
    </row>
    <row r="180" spans="1:14">
      <c r="A180" t="s">
        <v>66</v>
      </c>
      <c r="B180">
        <v>781955.52</v>
      </c>
      <c r="C180">
        <v>40535.089999999997</v>
      </c>
      <c r="D180">
        <v>8870</v>
      </c>
      <c r="E180">
        <v>86.6</v>
      </c>
      <c r="F180">
        <v>4.0999999999999996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1</v>
      </c>
      <c r="M180" s="3">
        <f xml:space="preserve">
58353.13397
+ 1.209015414*(C180)
+ 34.01462932*(D180)
+ 3047.928974*(E180)
+ 13439.3628*(F180)
- 12401.60265*(G180)
+ 1618.412705*(H180)
- 18491.87448*(I180)
+ 29382.28461*(J180)
+ 18098.25052*(K180)
+ 42659.1453*(L180)</f>
        <v>770781.62658467726</v>
      </c>
      <c r="N180">
        <f>B180-M180</f>
        <v>11173.89341532276</v>
      </c>
    </row>
    <row r="181" spans="1:14">
      <c r="A181" t="s">
        <v>66</v>
      </c>
      <c r="B181">
        <v>887537.75</v>
      </c>
      <c r="C181">
        <v>67494.09</v>
      </c>
      <c r="D181">
        <v>12361</v>
      </c>
      <c r="E181">
        <v>76.599999999999994</v>
      </c>
      <c r="F181">
        <v>3.7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1</v>
      </c>
      <c r="M181" s="3">
        <f xml:space="preserve">
58353.13397
+ 1.209015414*(C181)
+ 34.01462932*(D181)
+ 3047.928974*(E181)
+ 13439.3628*(F181)
- 12401.60265*(G181)
+ 1618.412705*(H181)
- 18491.87448*(I181)
+ 29382.28461*(J181)
+ 18098.25052*(K181)
+ 42659.1453*(L181)</f>
        <v>886265.50922682334</v>
      </c>
      <c r="N181">
        <f>B181-M181</f>
        <v>1272.240773176658</v>
      </c>
    </row>
    <row r="182" spans="1:14">
      <c r="A182" t="s">
        <v>67</v>
      </c>
      <c r="B182">
        <v>751393.88</v>
      </c>
      <c r="C182">
        <v>45209.25</v>
      </c>
      <c r="D182">
        <v>9287</v>
      </c>
      <c r="E182">
        <v>86.4</v>
      </c>
      <c r="F182">
        <v>3.6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 s="3">
        <f xml:space="preserve">
58353.13397
+ 1.209015414*(C182)
+ 34.01462932*(D182)
+ 3047.928974*(E182)
+ 13439.3628*(F182)
- 12401.60265*(G182)
+ 1618.412705*(H182)
- 18491.87448*(I182)
+ 29382.28461*(J182)
+ 18098.25052*(K182)
+ 42659.1453*(L182)</f>
        <v>740628.44600381958</v>
      </c>
      <c r="N182">
        <f>B182-M182</f>
        <v>10765.433996180422</v>
      </c>
    </row>
    <row r="183" spans="1:14">
      <c r="A183" t="s">
        <v>67</v>
      </c>
      <c r="B183">
        <v>855341.28</v>
      </c>
      <c r="C183">
        <v>68491.11</v>
      </c>
      <c r="D183">
        <v>11154</v>
      </c>
      <c r="E183">
        <v>89.4</v>
      </c>
      <c r="F183">
        <v>3.9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 s="3">
        <f xml:space="preserve">
58353.13397
+ 1.209015414*(C183)
+ 34.01462932*(D183)
+ 3047.928974*(E183)
+ 13439.3628*(F183)
- 12401.60265*(G183)
+ 1618.412705*(H183)
- 18491.87448*(I183)
+ 29382.28461*(J183)
+ 18098.25052*(K183)
+ 42659.1453*(L183)</f>
        <v>845457.48231284949</v>
      </c>
      <c r="N183">
        <f>B183-M183</f>
        <v>9883.797687150538</v>
      </c>
    </row>
    <row r="184" spans="1:14">
      <c r="A184" t="s">
        <v>67</v>
      </c>
      <c r="B184">
        <v>819660.59</v>
      </c>
      <c r="C184">
        <v>57948.88</v>
      </c>
      <c r="D184">
        <v>10741</v>
      </c>
      <c r="E184">
        <v>90.1</v>
      </c>
      <c r="F184">
        <v>3.1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 s="3">
        <f xml:space="preserve">
58353.13397
+ 1.209015414*(C184)
+ 34.01462932*(D184)
+ 3047.928974*(E184)
+ 13439.3628*(F184)
- 12401.60265*(G184)
+ 1618.412705*(H184)
- 18491.87448*(I184)
+ 29382.28461*(J184)
+ 18098.25052*(K184)
+ 42659.1453*(L184)</f>
        <v>810045.78187755635</v>
      </c>
      <c r="N184">
        <f>B184-M184</f>
        <v>9614.8081224436173</v>
      </c>
    </row>
    <row r="185" spans="1:14">
      <c r="A185" t="s">
        <v>67</v>
      </c>
      <c r="B185">
        <v>761077.08</v>
      </c>
      <c r="C185">
        <v>63010.23</v>
      </c>
      <c r="D185">
        <v>9812</v>
      </c>
      <c r="E185">
        <v>76.8</v>
      </c>
      <c r="F185">
        <v>3.8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 s="3">
        <f xml:space="preserve">
58353.13397
+ 1.209015414*(C185)
+ 34.01462932*(D185)
+ 3047.928974*(E185)
+ 13439.3628*(F185)
- 12401.60265*(G185)
+ 1618.412705*(H185)
- 18491.87448*(I185)
+ 29382.28461*(J185)
+ 18098.25052*(K185)
+ 42659.1453*(L185)</f>
        <v>753435.54001072515</v>
      </c>
      <c r="N185">
        <f>B185-M185</f>
        <v>7641.5399892748101</v>
      </c>
    </row>
    <row r="186" spans="1:14">
      <c r="A186" t="s">
        <v>68</v>
      </c>
      <c r="B186">
        <v>765906.95</v>
      </c>
      <c r="C186">
        <v>48031.74</v>
      </c>
      <c r="D186">
        <v>6516</v>
      </c>
      <c r="E186">
        <v>99</v>
      </c>
      <c r="F186">
        <v>4.3</v>
      </c>
      <c r="G186">
        <v>1</v>
      </c>
      <c r="H186">
        <v>0</v>
      </c>
      <c r="I186">
        <v>0</v>
      </c>
      <c r="J186">
        <v>0</v>
      </c>
      <c r="K186">
        <v>1</v>
      </c>
      <c r="L186">
        <v>0</v>
      </c>
      <c r="M186" s="3">
        <f xml:space="preserve">
58353.13397
+ 1.209015414*(C186)
+ 34.01462932*(D186)
+ 3047.928974*(E186)
+ 13439.3628*(F186)
- 12401.60265*(G186)
+ 1618.412705*(H186)
- 18491.87448*(I186)
+ 29382.28461*(J186)
+ 18098.25052*(K186)
+ 42659.1453*(L186)</f>
        <v>703294.44897636026</v>
      </c>
      <c r="N186">
        <f>B186-M186</f>
        <v>62612.501023639692</v>
      </c>
    </row>
    <row r="187" spans="1:14">
      <c r="A187" t="s">
        <v>68</v>
      </c>
      <c r="B187">
        <v>678311.17</v>
      </c>
      <c r="C187">
        <v>57147.88</v>
      </c>
      <c r="D187">
        <v>5252</v>
      </c>
      <c r="E187">
        <v>95.5</v>
      </c>
      <c r="F187">
        <v>4.4000000000000004</v>
      </c>
      <c r="G187">
        <v>1</v>
      </c>
      <c r="H187">
        <v>0</v>
      </c>
      <c r="I187">
        <v>0</v>
      </c>
      <c r="J187">
        <v>0</v>
      </c>
      <c r="K187">
        <v>1</v>
      </c>
      <c r="L187">
        <v>0</v>
      </c>
      <c r="M187" s="3">
        <f xml:space="preserve">
58353.13397
+ 1.209015414*(C187)
+ 34.01462932*(D187)
+ 3047.928974*(E187)
+ 13439.3628*(F187)
- 12401.60265*(G187)
+ 1618.412705*(H187)
- 18491.87448*(I187)
+ 29382.28461*(J187)
+ 18098.25052*(K187)
+ 42659.1453*(L187)</f>
        <v>661997.69616306236</v>
      </c>
      <c r="N187">
        <f>B187-M187</f>
        <v>16313.473836937686</v>
      </c>
    </row>
    <row r="188" spans="1:14">
      <c r="A188" t="s">
        <v>68</v>
      </c>
      <c r="B188">
        <v>712546.38</v>
      </c>
      <c r="C188">
        <v>72784.800000000003</v>
      </c>
      <c r="D188">
        <v>7932</v>
      </c>
      <c r="E188">
        <v>74.900000000000006</v>
      </c>
      <c r="F188">
        <v>4.2</v>
      </c>
      <c r="G188">
        <v>1</v>
      </c>
      <c r="H188">
        <v>0</v>
      </c>
      <c r="I188">
        <v>0</v>
      </c>
      <c r="J188">
        <v>0</v>
      </c>
      <c r="K188">
        <v>1</v>
      </c>
      <c r="L188">
        <v>0</v>
      </c>
      <c r="M188" s="3">
        <f xml:space="preserve">
58353.13397
+ 1.209015414*(C188)
+ 34.01462932*(D188)
+ 3047.928974*(E188)
+ 13439.3628*(F188)
- 12401.60265*(G188)
+ 1618.412705*(H188)
- 18491.87448*(I188)
+ 29382.28461*(J188)
+ 18098.25052*(K188)
+ 42659.1453*(L188)</f>
        <v>706586.97062374721</v>
      </c>
      <c r="N188">
        <f>B188-M188</f>
        <v>5959.4093762527918</v>
      </c>
    </row>
    <row r="189" spans="1:14">
      <c r="A189" t="s">
        <v>68</v>
      </c>
      <c r="B189">
        <v>681855.56</v>
      </c>
      <c r="C189">
        <v>71941.62</v>
      </c>
      <c r="D189">
        <v>6084</v>
      </c>
      <c r="E189">
        <v>93.7</v>
      </c>
      <c r="F189">
        <v>4.4000000000000004</v>
      </c>
      <c r="G189">
        <v>1</v>
      </c>
      <c r="H189">
        <v>0</v>
      </c>
      <c r="I189">
        <v>0</v>
      </c>
      <c r="J189">
        <v>0</v>
      </c>
      <c r="K189">
        <v>1</v>
      </c>
      <c r="L189">
        <v>0</v>
      </c>
      <c r="M189" s="3">
        <f xml:space="preserve">
58353.13397
+ 1.209015414*(C189)
+ 34.01462932*(D189)
+ 3047.928974*(E189)
+ 13439.3628*(F189)
- 12401.60265*(G189)
+ 1618.412705*(H189)
- 18491.87448*(I189)
+ 29382.28461*(J189)
+ 18098.25052*(K189)
+ 42659.1453*(L189)</f>
        <v>702697.45529481058</v>
      </c>
      <c r="N189">
        <f>B189-M189</f>
        <v>-20841.895294810529</v>
      </c>
    </row>
    <row r="190" spans="1:14">
      <c r="A190" t="s">
        <v>69</v>
      </c>
      <c r="B190">
        <v>625993.82999999996</v>
      </c>
      <c r="C190">
        <v>71641.899999999994</v>
      </c>
      <c r="D190">
        <v>3506</v>
      </c>
      <c r="E190">
        <v>86.4</v>
      </c>
      <c r="F190">
        <v>4.0999999999999996</v>
      </c>
      <c r="G190">
        <v>0</v>
      </c>
      <c r="H190">
        <v>0</v>
      </c>
      <c r="I190">
        <v>1</v>
      </c>
      <c r="J190">
        <v>0</v>
      </c>
      <c r="K190">
        <v>1</v>
      </c>
      <c r="L190">
        <v>0</v>
      </c>
      <c r="M190" s="3">
        <f xml:space="preserve">
58353.13397
+ 1.209015414*(C190)
+ 34.01462932*(D190)
+ 3047.928974*(E190)
+ 13439.3628*(F190)
- 12401.60265*(G190)
+ 1618.412705*(H190)
- 18491.87448*(I190)
+ 29382.28461*(J190)
+ 18098.25052*(K190)
+ 42659.1453*(L190)</f>
        <v>582273.41262776661</v>
      </c>
      <c r="N190">
        <f>B190-M190</f>
        <v>43720.417372233351</v>
      </c>
    </row>
    <row r="191" spans="1:14">
      <c r="A191" t="s">
        <v>69</v>
      </c>
      <c r="B191">
        <v>550962.93000000005</v>
      </c>
      <c r="C191">
        <v>55788.61</v>
      </c>
      <c r="D191">
        <v>2312</v>
      </c>
      <c r="E191">
        <v>91.3</v>
      </c>
      <c r="F191">
        <v>3.8</v>
      </c>
      <c r="G191">
        <v>0</v>
      </c>
      <c r="H191">
        <v>0</v>
      </c>
      <c r="I191">
        <v>1</v>
      </c>
      <c r="J191">
        <v>0</v>
      </c>
      <c r="K191">
        <v>1</v>
      </c>
      <c r="L191">
        <v>0</v>
      </c>
      <c r="M191" s="3">
        <f xml:space="preserve">
58353.13397
+ 1.209015414*(C191)
+ 34.01462932*(D191)
+ 3047.928974*(E191)
+ 13439.3628*(F191)
- 12401.60265*(G191)
+ 1618.412705*(H191)
- 18491.87448*(I191)
+ 29382.28461*(J191)
+ 18098.25052*(K191)
+ 42659.1453*(L191)</f>
        <v>533396.11637967452</v>
      </c>
      <c r="N191">
        <f>B191-M191</f>
        <v>17566.813620325527</v>
      </c>
    </row>
    <row r="192" spans="1:14">
      <c r="A192" t="s">
        <v>69</v>
      </c>
      <c r="B192">
        <v>443275.59</v>
      </c>
      <c r="C192">
        <v>37705.879999999997</v>
      </c>
      <c r="D192">
        <v>1268</v>
      </c>
      <c r="E192">
        <v>84.1</v>
      </c>
      <c r="F192">
        <v>3.8</v>
      </c>
      <c r="G192">
        <v>0</v>
      </c>
      <c r="H192">
        <v>0</v>
      </c>
      <c r="I192">
        <v>1</v>
      </c>
      <c r="J192">
        <v>0</v>
      </c>
      <c r="K192">
        <v>1</v>
      </c>
      <c r="L192">
        <v>0</v>
      </c>
      <c r="M192" s="3">
        <f xml:space="preserve">
58353.13397
+ 1.209015414*(C192)
+ 34.01462932*(D192)
+ 3047.928974*(E192)
+ 13439.3628*(F192)
- 12401.60265*(G192)
+ 1618.412705*(H192)
- 18491.87448*(I192)
+ 29382.28461*(J192)
+ 18098.25052*(K192)
+ 42659.1453*(L192)</f>
        <v>454077.45545959432</v>
      </c>
      <c r="N192">
        <f>B192-M192</f>
        <v>-10801.865459594293</v>
      </c>
    </row>
    <row r="193" spans="1:14">
      <c r="A193" t="s">
        <v>69</v>
      </c>
      <c r="B193">
        <v>554012.06999999995</v>
      </c>
      <c r="C193">
        <v>54966.18</v>
      </c>
      <c r="D193">
        <v>4423</v>
      </c>
      <c r="E193">
        <v>88.7</v>
      </c>
      <c r="F193">
        <v>4.4000000000000004</v>
      </c>
      <c r="G193">
        <v>0</v>
      </c>
      <c r="H193">
        <v>0</v>
      </c>
      <c r="I193">
        <v>1</v>
      </c>
      <c r="J193">
        <v>0</v>
      </c>
      <c r="K193">
        <v>1</v>
      </c>
      <c r="L193">
        <v>0</v>
      </c>
      <c r="M193" s="3">
        <f xml:space="preserve">
58353.13397
+ 1.209015414*(C193)
+ 34.01462932*(D193)
+ 3047.928974*(E193)
+ 13439.3628*(F193)
- 12401.60265*(G193)
+ 1618.412705*(H193)
- 18491.87448*(I193)
+ 29382.28461*(J193)
+ 18098.25052*(K193)
+ 42659.1453*(L193)</f>
        <v>604345.6706748585</v>
      </c>
      <c r="N193">
        <f>B193-M193</f>
        <v>-50333.60067485855</v>
      </c>
    </row>
    <row r="194" spans="1:14">
      <c r="A194" t="s">
        <v>70</v>
      </c>
      <c r="B194">
        <v>559422.02</v>
      </c>
      <c r="C194">
        <v>40220.18</v>
      </c>
      <c r="D194">
        <v>3783</v>
      </c>
      <c r="E194">
        <v>86.6</v>
      </c>
      <c r="F194">
        <v>3.7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 s="3">
        <f xml:space="preserve">
58353.13397
+ 1.209015414*(C194)
+ 34.01462932*(D194)
+ 3047.928974*(E194)
+ 13439.3628*(F194)
- 12401.60265*(G194)
+ 1618.412705*(H194)
- 18491.87448*(I194)
+ 29382.28461*(J194)
+ 18098.25052*(K194)
+ 42659.1453*(L194)</f>
        <v>549333.58576981456</v>
      </c>
      <c r="N194">
        <f>B194-M194</f>
        <v>10088.434230185463</v>
      </c>
    </row>
    <row r="195" spans="1:14">
      <c r="A195" t="s">
        <v>70</v>
      </c>
      <c r="B195">
        <v>611924.27</v>
      </c>
      <c r="C195">
        <v>51133.43</v>
      </c>
      <c r="D195">
        <v>5150</v>
      </c>
      <c r="E195">
        <v>88.5</v>
      </c>
      <c r="F195">
        <v>3.2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 s="3">
        <f xml:space="preserve">
58353.13397
+ 1.209015414*(C195)
+ 34.01462932*(D195)
+ 3047.928974*(E195)
+ 13439.3628*(F195)
- 12401.60265*(G195)
+ 1618.412705*(H195)
- 18491.87448*(I195)
+ 29382.28461*(J195)
+ 18098.25052*(K195)
+ 42659.1453*(L195)</f>
        <v>608097.25516769011</v>
      </c>
      <c r="N195">
        <f>B195-M195</f>
        <v>3827.0148323099129</v>
      </c>
    </row>
    <row r="196" spans="1:14">
      <c r="A196" t="s">
        <v>70</v>
      </c>
      <c r="B196">
        <v>643428.85</v>
      </c>
      <c r="C196">
        <v>81796.740000000005</v>
      </c>
      <c r="D196">
        <v>6177</v>
      </c>
      <c r="E196">
        <v>87.9</v>
      </c>
      <c r="F196">
        <v>3.2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 s="3">
        <f xml:space="preserve">
58353.13397
+ 1.209015414*(C196)
+ 34.01462932*(D196)
+ 3047.928974*(E196)
+ 13439.3628*(F196)
- 12401.60265*(G196)
+ 1618.412705*(H196)
- 18491.87448*(I196)
+ 29382.28461*(J196)
+ 18098.25052*(K196)
+ 42659.1453*(L196)</f>
        <v>678273.93652919051</v>
      </c>
      <c r="N196">
        <f>B196-M196</f>
        <v>-34845.086529190536</v>
      </c>
    </row>
    <row r="197" spans="1:14">
      <c r="A197" t="s">
        <v>70</v>
      </c>
      <c r="B197">
        <v>449465.06</v>
      </c>
      <c r="C197">
        <v>41657.64</v>
      </c>
      <c r="D197">
        <v>3135</v>
      </c>
      <c r="E197">
        <v>85.4</v>
      </c>
      <c r="F197">
        <v>3.9246794871794881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 s="3">
        <f xml:space="preserve">
58353.13397
+ 1.209015414*(C197)
+ 34.01462932*(D197)
+ 3047.928974*(E197)
+ 13439.3628*(F197)
- 12401.60265*(G197)
+ 1618.412705*(H197)
- 18491.87448*(I197)
+ 29382.28461*(J197)
+ 18098.25052*(K197)
+ 42659.1453*(L197)</f>
        <v>528392.05164058611</v>
      </c>
      <c r="N197">
        <f>B197-M197</f>
        <v>-78926.991640586115</v>
      </c>
    </row>
    <row r="198" spans="1:14">
      <c r="A198" t="s">
        <v>71</v>
      </c>
      <c r="B198">
        <v>735786.64</v>
      </c>
      <c r="C198">
        <v>61391.8</v>
      </c>
      <c r="D198">
        <v>5575</v>
      </c>
      <c r="E198">
        <v>90</v>
      </c>
      <c r="F198">
        <v>4.8</v>
      </c>
      <c r="G198">
        <v>1</v>
      </c>
      <c r="H198">
        <v>0</v>
      </c>
      <c r="I198">
        <v>0</v>
      </c>
      <c r="J198">
        <v>0</v>
      </c>
      <c r="K198">
        <v>0</v>
      </c>
      <c r="L198">
        <v>0</v>
      </c>
      <c r="M198" s="3">
        <f xml:space="preserve">
58353.13397
+ 1.209015414*(C198)
+ 34.01462932*(D198)
+ 3047.928974*(E198)
+ 13439.3628*(F198)
- 12401.60265*(G198)
+ 1618.412705*(H198)
- 18491.87448*(I198)
+ 29382.28461*(J198)
+ 18098.25052*(K198)
+ 42659.1453*(L198)</f>
        <v>648629.27137220511</v>
      </c>
      <c r="N198">
        <f>B198-M198</f>
        <v>87157.368627794902</v>
      </c>
    </row>
    <row r="199" spans="1:14">
      <c r="A199" t="s">
        <v>71</v>
      </c>
      <c r="B199">
        <v>691447.43</v>
      </c>
      <c r="C199">
        <v>71851.45</v>
      </c>
      <c r="D199">
        <v>4970</v>
      </c>
      <c r="E199">
        <v>89.6</v>
      </c>
      <c r="F199">
        <v>4.2</v>
      </c>
      <c r="G199">
        <v>1</v>
      </c>
      <c r="H199">
        <v>0</v>
      </c>
      <c r="I199">
        <v>0</v>
      </c>
      <c r="J199">
        <v>0</v>
      </c>
      <c r="K199">
        <v>0</v>
      </c>
      <c r="L199">
        <v>0</v>
      </c>
      <c r="M199" s="3">
        <f xml:space="preserve">
58353.13397
+ 1.209015414*(C199)
+ 34.01462932*(D199)
+ 3047.928974*(E199)
+ 13439.3628*(F199)
- 12401.60265*(G199)
+ 1618.412705*(H199)
- 18491.87448*(I199)
+ 29382.28461*(J199)
+ 18098.25052*(K199)
+ 42659.1453*(L199)</f>
        <v>631413.50943905022</v>
      </c>
      <c r="N199">
        <f>B199-M199</f>
        <v>60033.920560949831</v>
      </c>
    </row>
    <row r="200" spans="1:14">
      <c r="A200" t="s">
        <v>71</v>
      </c>
      <c r="B200">
        <v>578949.84</v>
      </c>
      <c r="C200">
        <v>54479.33</v>
      </c>
      <c r="D200">
        <v>5012</v>
      </c>
      <c r="E200">
        <v>86</v>
      </c>
      <c r="F200">
        <v>4.3</v>
      </c>
      <c r="G200">
        <v>1</v>
      </c>
      <c r="H200">
        <v>0</v>
      </c>
      <c r="I200">
        <v>0</v>
      </c>
      <c r="J200">
        <v>0</v>
      </c>
      <c r="K200">
        <v>0</v>
      </c>
      <c r="L200">
        <v>0</v>
      </c>
      <c r="M200" s="3">
        <f xml:space="preserve">
58353.13397
+ 1.209015414*(C200)
+ 34.01462932*(D200)
+ 3047.928974*(E200)
+ 13439.3628*(F200)
- 12401.60265*(G200)
+ 1618.412705*(H200)
- 18491.87448*(I200)
+ 29382.28461*(J200)
+ 18098.25052*(K200)
+ 42659.1453*(L200)</f>
        <v>602210.35499023262</v>
      </c>
      <c r="N200">
        <f>B200-M200</f>
        <v>-23260.514990232652</v>
      </c>
    </row>
    <row r="201" spans="1:14">
      <c r="A201" t="s">
        <v>71</v>
      </c>
      <c r="B201">
        <v>574066.61</v>
      </c>
      <c r="C201">
        <v>54002.83</v>
      </c>
      <c r="D201">
        <v>4366</v>
      </c>
      <c r="E201">
        <v>90.6</v>
      </c>
      <c r="F201">
        <v>4.5999999999999996</v>
      </c>
      <c r="G201">
        <v>1</v>
      </c>
      <c r="H201">
        <v>0</v>
      </c>
      <c r="I201">
        <v>0</v>
      </c>
      <c r="J201">
        <v>0</v>
      </c>
      <c r="K201">
        <v>0</v>
      </c>
      <c r="L201">
        <v>0</v>
      </c>
      <c r="M201" s="3">
        <f xml:space="preserve">
58353.13397
+ 1.209015414*(C201)
+ 34.01462932*(D201)
+ 3047.928974*(E201)
+ 13439.3628*(F201)
- 12401.60265*(G201)
+ 1618.412705*(H201)
- 18491.87448*(I201)
+ 29382.28461*(J201)
+ 18098.25052*(K201)
+ 42659.1453*(L201)</f>
        <v>597713.09072514158</v>
      </c>
      <c r="N201">
        <f>B201-M201</f>
        <v>-23646.480725141591</v>
      </c>
    </row>
    <row r="202" spans="1:14">
      <c r="A202" t="s">
        <v>72</v>
      </c>
      <c r="B202">
        <v>787715.51</v>
      </c>
      <c r="C202">
        <v>78111.97</v>
      </c>
      <c r="D202">
        <v>6389</v>
      </c>
      <c r="E202">
        <v>83.9</v>
      </c>
      <c r="F202">
        <v>4.8</v>
      </c>
      <c r="G202">
        <v>0</v>
      </c>
      <c r="H202">
        <v>0</v>
      </c>
      <c r="I202">
        <v>1</v>
      </c>
      <c r="J202">
        <v>0</v>
      </c>
      <c r="K202">
        <v>0</v>
      </c>
      <c r="L202">
        <v>1</v>
      </c>
      <c r="M202" s="3">
        <f xml:space="preserve">
58353.13397
+ 1.209015414*(C202)
+ 34.01462932*(D202)
+ 3047.928974*(E202)
+ 13439.3628*(F202)
- 12401.60265*(G202)
+ 1618.412705*(H202)
- 18491.87448*(I202)
+ 29382.28461*(J202)
+ 18098.25052*(K202)
+ 42659.1453*(L202)</f>
        <v>714508.62962198548</v>
      </c>
      <c r="N202">
        <f>B202-M202</f>
        <v>73206.880378014524</v>
      </c>
    </row>
    <row r="203" spans="1:14">
      <c r="A203" t="s">
        <v>72</v>
      </c>
      <c r="B203">
        <v>598904.9</v>
      </c>
      <c r="C203">
        <v>22312.93</v>
      </c>
      <c r="D203">
        <v>5955</v>
      </c>
      <c r="E203">
        <v>84.2</v>
      </c>
      <c r="F203">
        <v>4.5999999999999996</v>
      </c>
      <c r="G203">
        <v>0</v>
      </c>
      <c r="H203">
        <v>0</v>
      </c>
      <c r="I203">
        <v>1</v>
      </c>
      <c r="J203">
        <v>0</v>
      </c>
      <c r="K203">
        <v>0</v>
      </c>
      <c r="L203">
        <v>1</v>
      </c>
      <c r="M203" s="3">
        <f xml:space="preserve">
58353.13397
+ 1.209015414*(C203)
+ 34.01462932*(D203)
+ 3047.928974*(E203)
+ 13439.3628*(F203)
- 12401.60265*(G203)
+ 1618.412705*(H203)
- 18491.87448*(I203)
+ 29382.28461*(J203)
+ 18098.25052*(K203)
+ 42659.1453*(L203)</f>
        <v>630510.88718290301</v>
      </c>
      <c r="N203">
        <f>B203-M203</f>
        <v>-31605.987182902987</v>
      </c>
    </row>
    <row r="204" spans="1:14">
      <c r="A204" t="s">
        <v>72</v>
      </c>
      <c r="B204">
        <v>650795.49</v>
      </c>
      <c r="C204">
        <v>64104.28</v>
      </c>
      <c r="D204">
        <v>6015</v>
      </c>
      <c r="E204">
        <v>88.7</v>
      </c>
      <c r="F204">
        <v>4</v>
      </c>
      <c r="G204">
        <v>0</v>
      </c>
      <c r="H204">
        <v>0</v>
      </c>
      <c r="I204">
        <v>1</v>
      </c>
      <c r="J204">
        <v>0</v>
      </c>
      <c r="K204">
        <v>0</v>
      </c>
      <c r="L204">
        <v>1</v>
      </c>
      <c r="M204" s="3">
        <f xml:space="preserve">
58353.13397
+ 1.209015414*(C204)
+ 34.01462932*(D204)
+ 3047.928974*(E204)
+ 13439.3628*(F204)
- 12401.60265*(G204)
+ 1618.412705*(H204)
- 18491.87448*(I204)
+ 29382.28461*(J204)
+ 18098.25052*(K204)
+ 42659.1453*(L204)</f>
        <v>688730.21396697185</v>
      </c>
      <c r="N204">
        <f>B204-M204</f>
        <v>-37934.723966971855</v>
      </c>
    </row>
    <row r="205" spans="1:14">
      <c r="A205" t="s">
        <v>72</v>
      </c>
      <c r="B205">
        <v>607084.92000000004</v>
      </c>
      <c r="C205">
        <v>35203.230000000003</v>
      </c>
      <c r="D205">
        <v>6896</v>
      </c>
      <c r="E205">
        <v>80.8</v>
      </c>
      <c r="F205">
        <v>5</v>
      </c>
      <c r="G205">
        <v>0</v>
      </c>
      <c r="H205">
        <v>0</v>
      </c>
      <c r="I205">
        <v>1</v>
      </c>
      <c r="J205">
        <v>0</v>
      </c>
      <c r="K205">
        <v>0</v>
      </c>
      <c r="L205">
        <v>1</v>
      </c>
      <c r="M205" s="3">
        <f xml:space="preserve">
58353.13397
+ 1.209015414*(C205)
+ 34.01462932*(D205)
+ 3047.928974*(E205)
+ 13439.3628*(F205)
- 12401.60265*(G205)
+ 1618.412705*(H205)
- 18491.87448*(I205)
+ 29382.28461*(J205)
+ 18098.25052*(K205)
+ 42659.1453*(L205)</f>
        <v>673116.0113725072</v>
      </c>
      <c r="N205">
        <f>B205-M205</f>
        <v>-66031.091372507159</v>
      </c>
    </row>
    <row r="206" spans="1:14">
      <c r="A206" t="s">
        <v>73</v>
      </c>
      <c r="B206">
        <v>795464.47</v>
      </c>
      <c r="C206">
        <v>54300.87</v>
      </c>
      <c r="D206">
        <v>7875</v>
      </c>
      <c r="E206">
        <v>94.1</v>
      </c>
      <c r="F206">
        <v>3.7</v>
      </c>
      <c r="G206">
        <v>0</v>
      </c>
      <c r="H206">
        <v>0</v>
      </c>
      <c r="I206">
        <v>1</v>
      </c>
      <c r="J206">
        <v>1</v>
      </c>
      <c r="K206">
        <v>0</v>
      </c>
      <c r="L206">
        <v>0</v>
      </c>
      <c r="M206" s="3">
        <f xml:space="preserve">
58353.13397
+ 1.209015414*(C206)
+ 34.01462932*(D206)
+ 3047.928974*(E206)
+ 13439.3628*(F206)
- 12401.60265*(G206)
+ 1618.412705*(H206)
- 18491.87448*(I206)
+ 29382.28461*(J206)
+ 18098.25052*(K206)
+ 42659.1453*(L206)</f>
        <v>739295.09763201012</v>
      </c>
      <c r="N206">
        <f>B206-M206</f>
        <v>56169.372367989854</v>
      </c>
    </row>
    <row r="207" spans="1:14">
      <c r="A207" t="s">
        <v>73</v>
      </c>
      <c r="B207">
        <v>825060.52</v>
      </c>
      <c r="C207">
        <v>92090.14</v>
      </c>
      <c r="D207">
        <v>9476</v>
      </c>
      <c r="E207">
        <v>94.3</v>
      </c>
      <c r="F207">
        <v>3.7</v>
      </c>
      <c r="G207">
        <v>0</v>
      </c>
      <c r="H207">
        <v>0</v>
      </c>
      <c r="I207">
        <v>1</v>
      </c>
      <c r="J207">
        <v>1</v>
      </c>
      <c r="K207">
        <v>0</v>
      </c>
      <c r="L207">
        <v>0</v>
      </c>
      <c r="M207" s="3">
        <f xml:space="preserve">
58353.13397
+ 1.209015414*(C207)
+ 34.01462932*(D207)
+ 3047.928974*(E207)
+ 13439.3628*(F207)
- 12401.60265*(G207)
+ 1618.412705*(H207)
- 18491.87448*(I207)
+ 29382.28461*(J207)
+ 18098.25052*(K207)
+ 42659.1453*(L207)</f>
        <v>840049.9148819379</v>
      </c>
      <c r="N207">
        <f>B207-M207</f>
        <v>-14989.394881937886</v>
      </c>
    </row>
    <row r="208" spans="1:14">
      <c r="A208" t="s">
        <v>73</v>
      </c>
      <c r="B208">
        <v>671868.59</v>
      </c>
      <c r="C208">
        <v>37983.35</v>
      </c>
      <c r="D208">
        <v>9283</v>
      </c>
      <c r="E208">
        <v>83.2</v>
      </c>
      <c r="F208">
        <v>3.7</v>
      </c>
      <c r="G208">
        <v>0</v>
      </c>
      <c r="H208">
        <v>0</v>
      </c>
      <c r="I208">
        <v>1</v>
      </c>
      <c r="J208">
        <v>1</v>
      </c>
      <c r="K208">
        <v>0</v>
      </c>
      <c r="L208">
        <v>0</v>
      </c>
      <c r="M208" s="3">
        <f xml:space="preserve">
58353.13397
+ 1.209015414*(C208)
+ 34.01462932*(D208)
+ 3047.928974*(E208)
+ 13439.3628*(F208)
- 12401.60265*(G208)
+ 1618.412705*(H208)
- 18491.87448*(I208)
+ 29382.28461*(J208)
+ 18098.25052*(K208)
+ 42659.1453*(L208)</f>
        <v>734237.13669971691</v>
      </c>
      <c r="N208">
        <f>B208-M208</f>
        <v>-62368.546699716942</v>
      </c>
    </row>
    <row r="209" spans="1:14">
      <c r="A209" t="s">
        <v>73</v>
      </c>
      <c r="B209">
        <v>675917.63</v>
      </c>
      <c r="C209">
        <v>56413.83</v>
      </c>
      <c r="D209">
        <v>8303</v>
      </c>
      <c r="E209">
        <v>93.6</v>
      </c>
      <c r="F209">
        <v>3.7</v>
      </c>
      <c r="G209">
        <v>0</v>
      </c>
      <c r="H209">
        <v>0</v>
      </c>
      <c r="I209">
        <v>1</v>
      </c>
      <c r="J209">
        <v>1</v>
      </c>
      <c r="K209">
        <v>0</v>
      </c>
      <c r="L209">
        <v>0</v>
      </c>
      <c r="M209" s="3">
        <f xml:space="preserve">
58353.13397
+ 1.209015414*(C209)
+ 34.01462932*(D209)
+ 3047.928974*(E209)
+ 13439.3628*(F209)
- 12401.60265*(G209)
+ 1618.412705*(H209)
- 18491.87448*(I209)
+ 29382.28461*(J209)
+ 18098.25052*(K209)
+ 42659.1453*(L209)</f>
        <v>754883.99570313562</v>
      </c>
      <c r="N209">
        <f>B209-M209</f>
        <v>-78966.365703135612</v>
      </c>
    </row>
    <row r="210" spans="1:14">
      <c r="A210" t="s">
        <v>74</v>
      </c>
      <c r="B210">
        <v>810446.53</v>
      </c>
      <c r="C210">
        <v>63457.19</v>
      </c>
      <c r="D210">
        <v>10125</v>
      </c>
      <c r="E210">
        <v>87</v>
      </c>
      <c r="F210">
        <v>3.7</v>
      </c>
      <c r="G210">
        <v>0</v>
      </c>
      <c r="H210">
        <v>0</v>
      </c>
      <c r="I210">
        <v>1</v>
      </c>
      <c r="J210">
        <v>0</v>
      </c>
      <c r="K210">
        <v>1</v>
      </c>
      <c r="L210">
        <v>0</v>
      </c>
      <c r="M210" s="3">
        <f xml:space="preserve">
58353.13397
+ 1.209015414*(C210)
+ 34.01462932*(D210)
+ 3047.928974*(E210)
+ 13439.3628*(F210)
- 12401.60265*(G210)
+ 1618.412705*(H210)
- 18491.87448*(I210)
+ 29382.28461*(J210)
+ 18098.25052*(K210)
+ 42659.1453*(L210)</f>
        <v>793973.81581212673</v>
      </c>
      <c r="N210">
        <f>B210-M210</f>
        <v>16472.714187873295</v>
      </c>
    </row>
    <row r="211" spans="1:14">
      <c r="A211" t="s">
        <v>74</v>
      </c>
      <c r="B211">
        <v>761963.23</v>
      </c>
      <c r="C211">
        <v>49405.75</v>
      </c>
      <c r="D211">
        <v>9752</v>
      </c>
      <c r="E211">
        <v>87</v>
      </c>
      <c r="F211">
        <v>4.0999999999999996</v>
      </c>
      <c r="G211">
        <v>0</v>
      </c>
      <c r="H211">
        <v>0</v>
      </c>
      <c r="I211">
        <v>1</v>
      </c>
      <c r="J211">
        <v>0</v>
      </c>
      <c r="K211">
        <v>1</v>
      </c>
      <c r="L211">
        <v>0</v>
      </c>
      <c r="M211" s="3">
        <f xml:space="preserve">
58353.13397
+ 1.209015414*(C211)
+ 34.01462932*(D211)
+ 3047.928974*(E211)
+ 13439.3628*(F211)
- 12401.60265*(G211)
+ 1618.412705*(H211)
- 18491.87448*(I211)
+ 29382.28461*(J211)
+ 18098.25052*(K211)
+ 42659.1453*(L211)</f>
        <v>769673.69664687046</v>
      </c>
      <c r="N211">
        <f>B211-M211</f>
        <v>-7710.4666468704818</v>
      </c>
    </row>
    <row r="212" spans="1:14">
      <c r="A212" t="s">
        <v>74</v>
      </c>
      <c r="B212">
        <v>946833.54</v>
      </c>
      <c r="C212">
        <v>107970.19</v>
      </c>
      <c r="D212">
        <v>12870</v>
      </c>
      <c r="E212">
        <v>91.7</v>
      </c>
      <c r="F212">
        <v>3.7</v>
      </c>
      <c r="G212">
        <v>0</v>
      </c>
      <c r="H212">
        <v>0</v>
      </c>
      <c r="I212">
        <v>1</v>
      </c>
      <c r="J212">
        <v>0</v>
      </c>
      <c r="K212">
        <v>1</v>
      </c>
      <c r="L212">
        <v>0</v>
      </c>
      <c r="M212" s="3">
        <f xml:space="preserve">
58353.13397
+ 1.209015414*(C212)
+ 34.01462932*(D212)
+ 3047.928974*(E212)
+ 13439.3628*(F212)
- 12401.60265*(G212)
+ 1618.412705*(H212)
- 18491.87448*(I212)
+ 29382.28461*(J212)
+ 18098.25052*(K212)
+ 42659.1453*(L212)</f>
        <v>955486.14259670861</v>
      </c>
      <c r="N212">
        <f>B212-M212</f>
        <v>-8652.6025967085734</v>
      </c>
    </row>
    <row r="213" spans="1:14">
      <c r="A213" t="s">
        <v>74</v>
      </c>
      <c r="B213">
        <v>691288.19</v>
      </c>
      <c r="C213">
        <v>62949.7</v>
      </c>
      <c r="D213">
        <v>9458</v>
      </c>
      <c r="E213">
        <v>84.9</v>
      </c>
      <c r="F213">
        <v>3.3</v>
      </c>
      <c r="G213">
        <v>0</v>
      </c>
      <c r="H213">
        <v>0</v>
      </c>
      <c r="I213">
        <v>1</v>
      </c>
      <c r="J213">
        <v>0</v>
      </c>
      <c r="K213">
        <v>1</v>
      </c>
      <c r="L213">
        <v>0</v>
      </c>
      <c r="M213" s="3">
        <f xml:space="preserve">
58353.13397
+ 1.209015414*(C213)
+ 34.01462932*(D213)
+ 3047.928974*(E213)
+ 13439.3628*(F213)
- 12401.60265*(G213)
+ 1618.412705*(H213)
- 18491.87448*(I213)
+ 29382.28461*(J213)
+ 18098.25052*(K213)
+ 42659.1453*(L213)</f>
        <v>758896.09885783575</v>
      </c>
      <c r="N213">
        <f>B213-M213</f>
        <v>-67607.908857835806</v>
      </c>
    </row>
    <row r="214" spans="1:14">
      <c r="A214" t="s">
        <v>75</v>
      </c>
      <c r="B214">
        <v>804975.5</v>
      </c>
      <c r="C214">
        <v>41819.449999999997</v>
      </c>
      <c r="D214">
        <v>9412</v>
      </c>
      <c r="E214">
        <v>91</v>
      </c>
      <c r="F214">
        <v>4.2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 s="3">
        <f xml:space="preserve">
58353.13397
+ 1.209015414*(C214)
+ 34.01462932*(D214)
+ 3047.928974*(E214)
+ 13439.3628*(F214)
- 12401.60265*(G214)
+ 1618.412705*(H214)
- 18491.87448*(I214)
+ 29382.28461*(J214)
+ 18098.25052*(K214)
+ 42659.1453*(L214)</f>
        <v>762866.04517884238</v>
      </c>
      <c r="N214">
        <f>B214-M214</f>
        <v>42109.454821157618</v>
      </c>
    </row>
    <row r="215" spans="1:14">
      <c r="A215" t="s">
        <v>75</v>
      </c>
      <c r="B215">
        <v>812152.6</v>
      </c>
      <c r="C215">
        <v>50887.46</v>
      </c>
      <c r="D215">
        <v>9505</v>
      </c>
      <c r="E215">
        <v>89.7</v>
      </c>
      <c r="F215">
        <v>4.3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 s="3">
        <f xml:space="preserve">
58353.13397
+ 1.209015414*(C215)
+ 34.01462932*(D215)
+ 3047.928974*(E215)
+ 13439.3628*(F215)
- 12401.60265*(G215)
+ 1618.412705*(H215)
- 18491.87448*(I215)
+ 29382.28461*(J215)
+ 18098.25052*(K215)
+ 42659.1453*(L215)</f>
        <v>774374.39818370843</v>
      </c>
      <c r="N215">
        <f>B215-M215</f>
        <v>37778.201816291548</v>
      </c>
    </row>
    <row r="216" spans="1:14">
      <c r="A216" t="s">
        <v>75</v>
      </c>
      <c r="B216">
        <v>836908.24</v>
      </c>
      <c r="C216">
        <v>47391.09</v>
      </c>
      <c r="D216">
        <v>11224</v>
      </c>
      <c r="E216">
        <v>88.4</v>
      </c>
      <c r="F216">
        <v>4.9000000000000004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 s="3">
        <f xml:space="preserve">
58353.13397
+ 1.209015414*(C216)
+ 34.01462932*(D216)
+ 3047.928974*(E216)
+ 13439.3628*(F216)
- 12401.60265*(G216)
+ 1618.412705*(H216)
- 18491.87448*(I216)
+ 29382.28461*(J216)
+ 18098.25052*(K216)
+ 42659.1453*(L216)</f>
        <v>832719.69077554124</v>
      </c>
      <c r="N216">
        <f>B216-M216</f>
        <v>4188.5492244587513</v>
      </c>
    </row>
    <row r="217" spans="1:14">
      <c r="A217" t="s">
        <v>75</v>
      </c>
      <c r="B217">
        <v>752321.72</v>
      </c>
      <c r="C217">
        <v>35296.54</v>
      </c>
      <c r="D217">
        <v>9644</v>
      </c>
      <c r="E217">
        <v>88</v>
      </c>
      <c r="F217">
        <v>4.7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 s="3">
        <f xml:space="preserve">
58353.13397
+ 1.209015414*(C217)
+ 34.01462932*(D217)
+ 3047.928974*(E217)
+ 13439.3628*(F217)
- 12401.60265*(G217)
+ 1618.412705*(H217)
- 18491.87448*(I217)
+ 29382.28461*(J217)
+ 18098.25052*(K217)
+ 42659.1453*(L217)</f>
        <v>760447.03492494754</v>
      </c>
      <c r="N217">
        <f>B217-M217</f>
        <v>-8125.3149249475682</v>
      </c>
    </row>
    <row r="218" spans="1:14">
      <c r="A218" t="s">
        <v>76</v>
      </c>
      <c r="B218">
        <v>673348.56</v>
      </c>
      <c r="C218">
        <v>58785.33</v>
      </c>
      <c r="D218">
        <v>4467</v>
      </c>
      <c r="E218">
        <v>90.7</v>
      </c>
      <c r="F218">
        <v>3.7</v>
      </c>
      <c r="G218">
        <v>1</v>
      </c>
      <c r="H218">
        <v>0</v>
      </c>
      <c r="I218">
        <v>0</v>
      </c>
      <c r="J218">
        <v>0</v>
      </c>
      <c r="K218">
        <v>0</v>
      </c>
      <c r="L218">
        <v>1</v>
      </c>
      <c r="M218" s="3">
        <f xml:space="preserve">
58353.13397
+ 1.209015414*(C218)
+ 34.01462932*(D218)
+ 3047.928974*(E218)
+ 13439.3628*(F218)
- 12401.60265*(G218)
+ 1618.412705*(H218)
- 18491.87448*(I218)
+ 29382.28461*(J218)
+ 18098.25052*(K218)
+ 42659.1453*(L218)</f>
        <v>637799.19618131663</v>
      </c>
      <c r="N218">
        <f>B218-M218</f>
        <v>35549.363818683429</v>
      </c>
    </row>
    <row r="219" spans="1:14">
      <c r="A219" t="s">
        <v>76</v>
      </c>
      <c r="B219">
        <v>674289.1</v>
      </c>
      <c r="C219">
        <v>69180.539999999994</v>
      </c>
      <c r="D219">
        <v>5394</v>
      </c>
      <c r="E219">
        <v>82.9</v>
      </c>
      <c r="F219">
        <v>3.3</v>
      </c>
      <c r="G219">
        <v>1</v>
      </c>
      <c r="H219">
        <v>0</v>
      </c>
      <c r="I219">
        <v>0</v>
      </c>
      <c r="J219">
        <v>0</v>
      </c>
      <c r="K219">
        <v>0</v>
      </c>
      <c r="L219">
        <v>1</v>
      </c>
      <c r="M219" s="3">
        <f xml:space="preserve">
58353.13397
+ 1.209015414*(C219)
+ 34.01462932*(D219)
+ 3047.928974*(E219)
+ 13439.3628*(F219)
- 12401.60265*(G219)
+ 1618.412705*(H219)
- 18491.87448*(I219)
+ 29382.28461*(J219)
+ 18098.25052*(K219)
+ 42659.1453*(L219)</f>
        <v>652749.13556552341</v>
      </c>
      <c r="N219">
        <f>B219-M219</f>
        <v>21539.964434476569</v>
      </c>
    </row>
    <row r="220" spans="1:14">
      <c r="A220" t="s">
        <v>76</v>
      </c>
      <c r="B220">
        <v>606278.30000000005</v>
      </c>
      <c r="C220">
        <v>16451.849999999999</v>
      </c>
      <c r="D220">
        <v>4678</v>
      </c>
      <c r="E220">
        <v>95.9</v>
      </c>
      <c r="F220">
        <v>3.9</v>
      </c>
      <c r="G220">
        <v>1</v>
      </c>
      <c r="H220">
        <v>0</v>
      </c>
      <c r="I220">
        <v>0</v>
      </c>
      <c r="J220">
        <v>0</v>
      </c>
      <c r="K220">
        <v>0</v>
      </c>
      <c r="L220">
        <v>1</v>
      </c>
      <c r="M220" s="3">
        <f xml:space="preserve">
58353.13397
+ 1.209015414*(C220)
+ 34.01462932*(D220)
+ 3047.928974*(E220)
+ 13439.3628*(F220)
- 12401.60265*(G220)
+ 1618.412705*(H220)
- 18491.87448*(I220)
+ 29382.28461*(J220)
+ 18098.25052*(K220)
+ 42659.1453*(L220)</f>
        <v>612331.55634437583</v>
      </c>
      <c r="N220">
        <f>B220-M220</f>
        <v>-6053.2563443757826</v>
      </c>
    </row>
    <row r="221" spans="1:14">
      <c r="A221" t="s">
        <v>76</v>
      </c>
      <c r="B221">
        <v>622892.42000000004</v>
      </c>
      <c r="C221">
        <v>33987.33</v>
      </c>
      <c r="D221">
        <v>5014</v>
      </c>
      <c r="E221">
        <v>94.3</v>
      </c>
      <c r="F221">
        <v>3.9</v>
      </c>
      <c r="G221">
        <v>1</v>
      </c>
      <c r="H221">
        <v>0</v>
      </c>
      <c r="I221">
        <v>0</v>
      </c>
      <c r="J221">
        <v>0</v>
      </c>
      <c r="K221">
        <v>0</v>
      </c>
      <c r="L221">
        <v>1</v>
      </c>
      <c r="M221" s="3">
        <f xml:space="preserve">
58353.13397
+ 1.209015414*(C221)
+ 34.01462932*(D221)
+ 3047.928974*(E221)
+ 13439.3628*(F221)
- 12401.60265*(G221)
+ 1618.412705*(H221)
- 18491.87448*(I221)
+ 29382.28461*(J221)
+ 18098.25052*(K221)
+ 42659.1453*(L221)</f>
        <v>640084.45104938454</v>
      </c>
      <c r="N221">
        <f>B221-M221</f>
        <v>-17192.031049384503</v>
      </c>
    </row>
    <row r="222" spans="1:14">
      <c r="A222" t="s">
        <v>77</v>
      </c>
      <c r="B222">
        <v>712219.81</v>
      </c>
      <c r="C222">
        <v>53367.73</v>
      </c>
      <c r="D222">
        <v>7291</v>
      </c>
      <c r="E222">
        <v>90.6</v>
      </c>
      <c r="F222">
        <v>3.8</v>
      </c>
      <c r="G222">
        <v>0</v>
      </c>
      <c r="H222">
        <v>0</v>
      </c>
      <c r="I222">
        <v>1</v>
      </c>
      <c r="J222">
        <v>0</v>
      </c>
      <c r="K222">
        <v>1</v>
      </c>
      <c r="L222">
        <v>0</v>
      </c>
      <c r="M222" s="3">
        <f xml:space="preserve">
58353.13397
+ 1.209015414*(C222)
+ 34.01462932*(D222)
+ 3047.928974*(E222)
+ 13439.3628*(F222)
- 12401.60265*(G222)
+ 1618.412705*(H222)
- 18491.87448*(I222)
+ 29382.28461*(J222)
+ 18098.25052*(K222)
+ 42659.1453*(L222)</f>
        <v>697694.52424671012</v>
      </c>
      <c r="N222">
        <f>B222-M222</f>
        <v>14525.285753289936</v>
      </c>
    </row>
    <row r="223" spans="1:14">
      <c r="A223" t="s">
        <v>77</v>
      </c>
      <c r="B223">
        <v>672670.54</v>
      </c>
      <c r="C223">
        <v>27194.639999999999</v>
      </c>
      <c r="D223">
        <v>7404</v>
      </c>
      <c r="E223">
        <v>90.2</v>
      </c>
      <c r="F223">
        <v>3.4</v>
      </c>
      <c r="G223">
        <v>0</v>
      </c>
      <c r="H223">
        <v>0</v>
      </c>
      <c r="I223">
        <v>1</v>
      </c>
      <c r="J223">
        <v>0</v>
      </c>
      <c r="K223">
        <v>1</v>
      </c>
      <c r="L223">
        <v>0</v>
      </c>
      <c r="M223" s="3">
        <f xml:space="preserve">
58353.13397
+ 1.209015414*(C223)
+ 34.01462932*(D223)
+ 3047.928974*(E223)
+ 13439.3628*(F223)
- 12401.60265*(G223)
+ 1618.412705*(H223)
- 18491.87448*(I223)
+ 29382.28461*(J223)
+ 18098.25052*(K223)
+ 42659.1453*(L223)</f>
        <v>663299.59140826098</v>
      </c>
      <c r="N223">
        <f>B223-M223</f>
        <v>9370.9485917390557</v>
      </c>
    </row>
    <row r="224" spans="1:14">
      <c r="A224" t="s">
        <v>77</v>
      </c>
      <c r="B224">
        <v>732667.92</v>
      </c>
      <c r="C224">
        <v>66962.740000000005</v>
      </c>
      <c r="D224">
        <v>7880</v>
      </c>
      <c r="E224">
        <v>90.4</v>
      </c>
      <c r="F224">
        <v>3.3</v>
      </c>
      <c r="G224">
        <v>0</v>
      </c>
      <c r="H224">
        <v>0</v>
      </c>
      <c r="I224">
        <v>1</v>
      </c>
      <c r="J224">
        <v>0</v>
      </c>
      <c r="K224">
        <v>1</v>
      </c>
      <c r="L224">
        <v>0</v>
      </c>
      <c r="M224" s="3">
        <f xml:space="preserve">
58353.13397
+ 1.209015414*(C224)
+ 34.01462932*(D224)
+ 3047.928974*(E224)
+ 13439.3628*(F224)
- 12401.60265*(G224)
+ 1618.412705*(H224)
- 18491.87448*(I224)
+ 29382.28461*(J224)
+ 18098.25052*(K224)
+ 42659.1453*(L224)</f>
        <v>726836.45036487433</v>
      </c>
      <c r="N224">
        <f>B224-M224</f>
        <v>5831.4696351257153</v>
      </c>
    </row>
    <row r="225" spans="1:14">
      <c r="A225" t="s">
        <v>77</v>
      </c>
      <c r="B225">
        <v>723531.4</v>
      </c>
      <c r="C225">
        <v>73540.990000000005</v>
      </c>
      <c r="D225">
        <v>8773</v>
      </c>
      <c r="E225">
        <v>84.4</v>
      </c>
      <c r="F225">
        <v>3.6</v>
      </c>
      <c r="G225">
        <v>0</v>
      </c>
      <c r="H225">
        <v>0</v>
      </c>
      <c r="I225">
        <v>1</v>
      </c>
      <c r="J225">
        <v>0</v>
      </c>
      <c r="K225">
        <v>1</v>
      </c>
      <c r="L225">
        <v>0</v>
      </c>
      <c r="M225" s="3">
        <f xml:space="preserve">
58353.13397
+ 1.209015414*(C225)
+ 34.01462932*(D225)
+ 3047.928974*(E225)
+ 13439.3628*(F225)
- 12401.60265*(G225)
+ 1618.412705*(H225)
- 18491.87448*(I225)
+ 29382.28461*(J225)
+ 18098.25052*(K225)
+ 42659.1453*(L225)</f>
        <v>750908.95499077986</v>
      </c>
      <c r="N225">
        <f>B225-M225</f>
        <v>-27377.554990779841</v>
      </c>
    </row>
    <row r="226" spans="1:14">
      <c r="A226" t="s">
        <v>78</v>
      </c>
      <c r="B226">
        <v>641564.6</v>
      </c>
      <c r="C226">
        <v>68212.289999999994</v>
      </c>
      <c r="D226">
        <v>4713</v>
      </c>
      <c r="E226">
        <v>82.6</v>
      </c>
      <c r="F226">
        <v>3</v>
      </c>
      <c r="G226">
        <v>0</v>
      </c>
      <c r="H226">
        <v>0</v>
      </c>
      <c r="I226">
        <v>1</v>
      </c>
      <c r="J226">
        <v>1</v>
      </c>
      <c r="K226">
        <v>0</v>
      </c>
      <c r="L226">
        <v>0</v>
      </c>
      <c r="M226" s="3">
        <f xml:space="preserve">
58353.13397
+ 1.209015414*(C226)
+ 34.01462932*(D226)
+ 3047.928974*(E226)
+ 13439.3628*(F226)
- 12401.60265*(G226)
+ 1618.412705*(H226)
- 18491.87448*(I226)
+ 29382.28461*(J226)
+ 18098.25052*(K226)
+ 42659.1453*(L226)</f>
        <v>604101.22377179808</v>
      </c>
      <c r="N226">
        <f>B226-M226</f>
        <v>37463.376228201902</v>
      </c>
    </row>
    <row r="227" spans="1:14">
      <c r="A227" t="s">
        <v>78</v>
      </c>
      <c r="B227">
        <v>529598.93999999994</v>
      </c>
      <c r="C227">
        <v>39341.449999999997</v>
      </c>
      <c r="D227">
        <v>1375</v>
      </c>
      <c r="E227">
        <v>95</v>
      </c>
      <c r="F227">
        <v>3.9246794871794881</v>
      </c>
      <c r="G227">
        <v>0</v>
      </c>
      <c r="H227">
        <v>0</v>
      </c>
      <c r="I227">
        <v>1</v>
      </c>
      <c r="J227">
        <v>1</v>
      </c>
      <c r="K227">
        <v>0</v>
      </c>
      <c r="L227">
        <v>0</v>
      </c>
      <c r="M227" s="3">
        <f xml:space="preserve">
58353.13397
+ 1.209015414*(C227)
+ 34.01462932*(D227)
+ 3047.928974*(E227)
+ 13439.3628*(F227)
- 12401.60265*(G227)
+ 1618.412705*(H227)
- 18491.87448*(I227)
+ 29382.28461*(J227)
+ 18098.25052*(K227)
+ 42659.1453*(L227)</f>
        <v>505876.52290603338</v>
      </c>
      <c r="N227">
        <f>B227-M227</f>
        <v>23722.417093966564</v>
      </c>
    </row>
    <row r="228" spans="1:14">
      <c r="A228" t="s">
        <v>78</v>
      </c>
      <c r="B228">
        <v>536545.49</v>
      </c>
      <c r="C228">
        <v>57225.98</v>
      </c>
      <c r="D228">
        <v>2842</v>
      </c>
      <c r="E228">
        <v>79.5</v>
      </c>
      <c r="F228">
        <v>3.4</v>
      </c>
      <c r="G228">
        <v>0</v>
      </c>
      <c r="H228">
        <v>0</v>
      </c>
      <c r="I228">
        <v>1</v>
      </c>
      <c r="J228">
        <v>1</v>
      </c>
      <c r="K228">
        <v>0</v>
      </c>
      <c r="L228">
        <v>0</v>
      </c>
      <c r="M228" s="3">
        <f xml:space="preserve">
58353.13397
+ 1.209015414*(C228)
+ 34.01462932*(D228)
+ 3047.928974*(E228)
+ 13439.3628*(F228)
- 12401.60265*(G228)
+ 1618.412705*(H228)
- 18491.87448*(I228)
+ 29382.28461*(J228)
+ 18098.25052*(K228)
+ 42659.1453*(L228)</f>
        <v>523104.39948169567</v>
      </c>
      <c r="N228">
        <f>B228-M228</f>
        <v>13441.090518304321</v>
      </c>
    </row>
    <row r="229" spans="1:14">
      <c r="A229" t="s">
        <v>78</v>
      </c>
      <c r="B229">
        <v>527681.56000000006</v>
      </c>
      <c r="C229">
        <v>42932.02</v>
      </c>
      <c r="D229">
        <v>3872</v>
      </c>
      <c r="E229">
        <v>83.2</v>
      </c>
      <c r="F229">
        <v>3.3</v>
      </c>
      <c r="G229">
        <v>0</v>
      </c>
      <c r="H229">
        <v>0</v>
      </c>
      <c r="I229">
        <v>1</v>
      </c>
      <c r="J229">
        <v>1</v>
      </c>
      <c r="K229">
        <v>0</v>
      </c>
      <c r="L229">
        <v>0</v>
      </c>
      <c r="M229" s="3">
        <f xml:space="preserve">
58353.13397
+ 1.209015414*(C229)
+ 34.01462932*(D229)
+ 3047.928974*(E229)
+ 13439.3628*(F229)
- 12401.60265*(G229)
+ 1618.412705*(H229)
- 18491.87448*(I229)
+ 29382.28461*(J229)
+ 18098.25052*(K229)
+ 42659.1453*(L229)</f>
        <v>550791.25063799624</v>
      </c>
      <c r="N229">
        <f>B229-M229</f>
        <v>-23109.690637996187</v>
      </c>
    </row>
    <row r="230" spans="1:14">
      <c r="A230" t="s">
        <v>79</v>
      </c>
      <c r="B230">
        <v>870937.4</v>
      </c>
      <c r="C230">
        <v>113736</v>
      </c>
      <c r="D230">
        <v>8961</v>
      </c>
      <c r="E230">
        <v>86.2</v>
      </c>
      <c r="F230">
        <v>4</v>
      </c>
      <c r="G230">
        <v>0</v>
      </c>
      <c r="H230">
        <v>0</v>
      </c>
      <c r="I230">
        <v>1</v>
      </c>
      <c r="J230">
        <v>0</v>
      </c>
      <c r="K230">
        <v>1</v>
      </c>
      <c r="L230">
        <v>0</v>
      </c>
      <c r="M230" s="3">
        <f xml:space="preserve">
58353.13397
+ 1.209015414*(C230)
+ 34.01462932*(D230)
+ 3047.928974*(E230)
+ 13439.3628*(F230)
- 12401.60265*(G230)
+ 1618.412705*(H230)
- 18491.87448*(I230)
+ 29382.28461*(J230)
+ 18098.25052*(K230)
+ 42659.1453*(L230)</f>
        <v>816762.10923202406</v>
      </c>
      <c r="N230">
        <f>B230-M230</f>
        <v>54175.290767975966</v>
      </c>
    </row>
    <row r="231" spans="1:14">
      <c r="A231" t="s">
        <v>79</v>
      </c>
      <c r="B231">
        <v>647512.85</v>
      </c>
      <c r="C231">
        <v>25818.080000000002</v>
      </c>
      <c r="D231">
        <v>5457</v>
      </c>
      <c r="E231">
        <v>95.4</v>
      </c>
      <c r="F231">
        <v>3.7</v>
      </c>
      <c r="G231">
        <v>0</v>
      </c>
      <c r="H231">
        <v>0</v>
      </c>
      <c r="I231">
        <v>1</v>
      </c>
      <c r="J231">
        <v>0</v>
      </c>
      <c r="K231">
        <v>1</v>
      </c>
      <c r="L231">
        <v>0</v>
      </c>
      <c r="M231" s="3">
        <f xml:space="preserve">
58353.13397
+ 1.209015414*(C231)
+ 34.01462932*(D231)
+ 3047.928974*(E231)
+ 13439.3628*(F231)
- 12401.60265*(G231)
+ 1618.412705*(H231)
- 18491.87448*(I231)
+ 29382.28461*(J231)
+ 18098.25052*(K231)
+ 42659.1453*(L231)</f>
        <v>615289.86536872515</v>
      </c>
      <c r="N231">
        <f>B231-M231</f>
        <v>32222.984631274827</v>
      </c>
    </row>
    <row r="232" spans="1:14">
      <c r="A232" t="s">
        <v>79</v>
      </c>
      <c r="B232">
        <v>596969.27</v>
      </c>
      <c r="C232">
        <v>33173.949999999997</v>
      </c>
      <c r="D232">
        <v>6545</v>
      </c>
      <c r="E232">
        <v>84.4</v>
      </c>
      <c r="F232">
        <v>3.9</v>
      </c>
      <c r="G232">
        <v>0</v>
      </c>
      <c r="H232">
        <v>0</v>
      </c>
      <c r="I232">
        <v>1</v>
      </c>
      <c r="J232">
        <v>0</v>
      </c>
      <c r="K232">
        <v>1</v>
      </c>
      <c r="L232">
        <v>0</v>
      </c>
      <c r="M232" s="3">
        <f xml:space="preserve">
58353.13397
+ 1.209015414*(C232)
+ 34.01462932*(D232)
+ 3047.928974*(E232)
+ 13439.3628*(F232)
- 12401.60265*(G232)
+ 1618.412705*(H232)
- 18491.87448*(I232)
+ 29382.28461*(J232)
+ 18098.25052*(K232)
+ 42659.1453*(L232)</f>
        <v>630351.79612826533</v>
      </c>
      <c r="N232">
        <f>B232-M232</f>
        <v>-33382.526128265308</v>
      </c>
    </row>
    <row r="233" spans="1:14">
      <c r="A233" t="s">
        <v>79</v>
      </c>
      <c r="B233">
        <v>570963.31000000006</v>
      </c>
      <c r="C233">
        <v>37324.230000000003</v>
      </c>
      <c r="D233">
        <v>5957</v>
      </c>
      <c r="E233">
        <v>85.9</v>
      </c>
      <c r="F233">
        <v>3.8</v>
      </c>
      <c r="G233">
        <v>0</v>
      </c>
      <c r="H233">
        <v>0</v>
      </c>
      <c r="I233">
        <v>1</v>
      </c>
      <c r="J233">
        <v>0</v>
      </c>
      <c r="K233">
        <v>1</v>
      </c>
      <c r="L233">
        <v>0</v>
      </c>
      <c r="M233" s="3">
        <f xml:space="preserve">
58353.13397
+ 1.209015414*(C233)
+ 34.01462932*(D233)
+ 3047.928974*(E233)
+ 13439.3628*(F233)
- 12401.60265*(G233)
+ 1618.412705*(H233)
- 18491.87448*(I233)
+ 29382.28461*(J233)
+ 18098.25052*(K233)
+ 42659.1453*(L233)</f>
        <v>618596.90376152121</v>
      </c>
      <c r="N233">
        <f>B233-M233</f>
        <v>-47633.593761521159</v>
      </c>
    </row>
    <row r="234" spans="1:14">
      <c r="A234" t="s">
        <v>80</v>
      </c>
      <c r="B234">
        <v>723305.11</v>
      </c>
      <c r="C234">
        <v>61650.79</v>
      </c>
      <c r="D234">
        <v>5321</v>
      </c>
      <c r="E234">
        <v>89.2</v>
      </c>
      <c r="F234">
        <v>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 s="3">
        <f xml:space="preserve">
58353.13397
+ 1.209015414*(C234)
+ 34.01462932*(D234)
+ 3047.928974*(E234)
+ 13439.3628*(F234)
- 12401.60265*(G234)
+ 1618.412705*(H234)
- 18491.87448*(I234)
+ 29382.28461*(J234)
+ 18098.25052*(K234)
+ 42659.1453*(L234)</f>
        <v>639514.44765779714</v>
      </c>
      <c r="N234">
        <f>B234-M234</f>
        <v>83790.66234220285</v>
      </c>
    </row>
    <row r="235" spans="1:14">
      <c r="A235" t="s">
        <v>80</v>
      </c>
      <c r="B235">
        <v>658072.14</v>
      </c>
      <c r="C235">
        <v>47241.919999999998</v>
      </c>
      <c r="D235">
        <v>4264</v>
      </c>
      <c r="E235">
        <v>95.3</v>
      </c>
      <c r="F235">
        <v>4.3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 s="3">
        <f xml:space="preserve">
58353.13397
+ 1.209015414*(C235)
+ 34.01462932*(D235)
+ 3047.928974*(E235)
+ 13439.3628*(F235)
- 12401.60265*(G235)
+ 1618.412705*(H235)
- 18491.87448*(I235)
+ 29382.28461*(J235)
+ 18098.25052*(K235)
+ 42659.1453*(L235)</f>
        <v>608764.61411963485</v>
      </c>
      <c r="N235">
        <f>B235-M235</f>
        <v>49307.525880365167</v>
      </c>
    </row>
    <row r="236" spans="1:14">
      <c r="A236" t="s">
        <v>80</v>
      </c>
      <c r="B236">
        <v>640666.53</v>
      </c>
      <c r="C236">
        <v>62582.71</v>
      </c>
      <c r="D236">
        <v>5479</v>
      </c>
      <c r="E236">
        <v>81.2</v>
      </c>
      <c r="F236">
        <v>4.5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 s="3">
        <f xml:space="preserve">
58353.13397
+ 1.209015414*(C236)
+ 34.01462932*(D236)
+ 3047.928974*(E236)
+ 13439.3628*(F236)
- 12401.60265*(G236)
+ 1618.412705*(H236)
- 18491.87448*(I236)
+ 29382.28461*(J236)
+ 18098.25052*(K236)
+ 42659.1453*(L236)</f>
        <v>628351.71434297191</v>
      </c>
      <c r="N236">
        <f>B236-M236</f>
        <v>12314.815657028113</v>
      </c>
    </row>
    <row r="237" spans="1:14">
      <c r="A237" t="s">
        <v>80</v>
      </c>
      <c r="B237">
        <v>670629.48</v>
      </c>
      <c r="C237">
        <v>47944.14</v>
      </c>
      <c r="D237">
        <v>6169</v>
      </c>
      <c r="E237">
        <v>92.2</v>
      </c>
      <c r="F237">
        <v>4.0999999999999996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 s="3">
        <f xml:space="preserve">
58353.13397
+ 1.209015414*(C237)
+ 34.01462932*(D237)
+ 3047.928974*(E237)
+ 13439.3628*(F237)
- 12401.60265*(G237)
+ 1618.412705*(H237)
- 18491.87448*(I237)
+ 29382.28461*(J237)
+ 18098.25052*(K237)
+ 42659.1453*(L237)</f>
        <v>662275.02539885405</v>
      </c>
      <c r="N237">
        <f>B237-M237</f>
        <v>8354.4546011459315</v>
      </c>
    </row>
    <row r="238" spans="1:14">
      <c r="A238" t="s">
        <v>81</v>
      </c>
      <c r="B238">
        <v>737070.18</v>
      </c>
      <c r="C238">
        <v>26248.1</v>
      </c>
      <c r="D238">
        <v>9314</v>
      </c>
      <c r="E238">
        <v>83.7</v>
      </c>
      <c r="F238">
        <v>3.3</v>
      </c>
      <c r="G238">
        <v>0</v>
      </c>
      <c r="H238">
        <v>0</v>
      </c>
      <c r="I238">
        <v>0</v>
      </c>
      <c r="J238">
        <v>1</v>
      </c>
      <c r="K238">
        <v>0</v>
      </c>
      <c r="L238">
        <v>0</v>
      </c>
      <c r="M238" s="3">
        <f xml:space="preserve">
58353.13397
+ 1.209015414*(C238)
+ 34.01462932*(D238)
+ 3047.928974*(E238)
+ 13439.3628*(F238)
- 12401.60265*(G238)
+ 1618.412705*(H238)
- 18491.87448*(I238)
+ 29382.28461*(J238)
+ 18098.25052*(K238)
+ 42659.1453*(L238)</f>
        <v>735743.58591849334</v>
      </c>
      <c r="N238">
        <f>B238-M238</f>
        <v>1326.5940815067152</v>
      </c>
    </row>
    <row r="239" spans="1:14">
      <c r="A239" t="s">
        <v>81</v>
      </c>
      <c r="B239">
        <v>761919.25</v>
      </c>
      <c r="C239">
        <v>59060.05</v>
      </c>
      <c r="D239">
        <v>9702</v>
      </c>
      <c r="E239">
        <v>80.900000000000006</v>
      </c>
      <c r="F239">
        <v>3.2</v>
      </c>
      <c r="G239">
        <v>0</v>
      </c>
      <c r="H239">
        <v>0</v>
      </c>
      <c r="I239">
        <v>0</v>
      </c>
      <c r="J239">
        <v>1</v>
      </c>
      <c r="K239">
        <v>0</v>
      </c>
      <c r="L239">
        <v>0</v>
      </c>
      <c r="M239" s="3">
        <f xml:space="preserve">
58353.13397
+ 1.209015414*(C239)
+ 34.01462932*(D239)
+ 3047.928974*(E239)
+ 13439.3628*(F239)
- 12401.60265*(G239)
+ 1618.412705*(H239)
- 18491.87448*(I239)
+ 29382.28461*(J239)
+ 18098.25052*(K239)
+ 42659.1453*(L239)</f>
        <v>778733.2780008507</v>
      </c>
      <c r="N239">
        <f>B239-M239</f>
        <v>-16814.028000850696</v>
      </c>
    </row>
    <row r="240" spans="1:14">
      <c r="A240" t="s">
        <v>81</v>
      </c>
      <c r="B240">
        <v>810355.02</v>
      </c>
      <c r="C240">
        <v>72961.95</v>
      </c>
      <c r="D240">
        <v>9996</v>
      </c>
      <c r="E240">
        <v>89.1</v>
      </c>
      <c r="F240">
        <v>3.4</v>
      </c>
      <c r="G240">
        <v>0</v>
      </c>
      <c r="H240">
        <v>0</v>
      </c>
      <c r="I240">
        <v>0</v>
      </c>
      <c r="J240">
        <v>1</v>
      </c>
      <c r="K240">
        <v>0</v>
      </c>
      <c r="L240">
        <v>0</v>
      </c>
      <c r="M240" s="3">
        <f xml:space="preserve">
58353.13397
+ 1.209015414*(C240)
+ 34.01462932*(D240)
+ 3047.928974*(E240)
+ 13439.3628*(F240)
- 12401.60265*(G240)
+ 1618.412705*(H240)
- 18491.87448*(I240)
+ 29382.28461*(J240)
+ 18098.25052*(K240)
+ 42659.1453*(L240)</f>
        <v>833222.0805516172</v>
      </c>
      <c r="N240">
        <f>B240-M240</f>
        <v>-22867.060551617178</v>
      </c>
    </row>
    <row r="241" spans="1:14">
      <c r="A241" t="s">
        <v>81</v>
      </c>
      <c r="B241">
        <v>721079.35</v>
      </c>
      <c r="C241">
        <v>46495.4</v>
      </c>
      <c r="D241">
        <v>9908</v>
      </c>
      <c r="E241">
        <v>89.4</v>
      </c>
      <c r="F241">
        <v>3.7</v>
      </c>
      <c r="G241">
        <v>0</v>
      </c>
      <c r="H241">
        <v>0</v>
      </c>
      <c r="I241">
        <v>0</v>
      </c>
      <c r="J241">
        <v>1</v>
      </c>
      <c r="K241">
        <v>0</v>
      </c>
      <c r="L241">
        <v>0</v>
      </c>
      <c r="M241" s="3">
        <f xml:space="preserve">
58353.13397
+ 1.209015414*(C241)
+ 34.01462932*(D241)
+ 3047.928974*(E241)
+ 13439.3628*(F241)
- 12401.60265*(G241)
+ 1618.412705*(H241)
- 18491.87448*(I241)
+ 29382.28461*(J241)
+ 18098.25052*(K241)
+ 42659.1453*(L241)</f>
        <v>803176.51379825559</v>
      </c>
      <c r="N241">
        <f>B241-M241</f>
        <v>-82097.163798255613</v>
      </c>
    </row>
    <row r="242" spans="1:14">
      <c r="A242" t="s">
        <v>82</v>
      </c>
      <c r="B242">
        <v>776992.93</v>
      </c>
      <c r="C242">
        <v>69900.12</v>
      </c>
      <c r="D242">
        <v>8055</v>
      </c>
      <c r="E242">
        <v>85.6</v>
      </c>
      <c r="F242">
        <v>2.9</v>
      </c>
      <c r="G242">
        <v>0</v>
      </c>
      <c r="H242">
        <v>1</v>
      </c>
      <c r="I242">
        <v>0</v>
      </c>
      <c r="J242">
        <v>0</v>
      </c>
      <c r="K242">
        <v>0</v>
      </c>
      <c r="L242">
        <v>1</v>
      </c>
      <c r="M242" s="3">
        <f xml:space="preserve">
58353.13397
+ 1.209015414*(C242)
+ 34.01462932*(D242)
+ 3047.928974*(E242)
+ 13439.3628*(F242)
- 12401.60265*(G242)
+ 1618.412705*(H242)
- 18491.87448*(I242)
+ 29382.28461*(J242)
+ 18098.25052*(K242)
+ 42659.1453*(L242)</f>
        <v>761005.72596244956</v>
      </c>
      <c r="N242">
        <f>B242-M242</f>
        <v>15987.204037550488</v>
      </c>
    </row>
    <row r="243" spans="1:14">
      <c r="A243" t="s">
        <v>82</v>
      </c>
      <c r="B243">
        <v>676337.41</v>
      </c>
      <c r="C243">
        <v>51781.599999999999</v>
      </c>
      <c r="D243">
        <v>5648</v>
      </c>
      <c r="E243">
        <v>85.5</v>
      </c>
      <c r="F243">
        <v>3.7</v>
      </c>
      <c r="G243">
        <v>0</v>
      </c>
      <c r="H243">
        <v>1</v>
      </c>
      <c r="I243">
        <v>0</v>
      </c>
      <c r="J243">
        <v>0</v>
      </c>
      <c r="K243">
        <v>0</v>
      </c>
      <c r="L243">
        <v>1</v>
      </c>
      <c r="M243" s="3">
        <f xml:space="preserve">
58353.13397
+ 1.209015414*(C243)
+ 34.01462932*(D243)
+ 3047.928974*(E243)
+ 13439.3628*(F243)
- 12401.60265*(G243)
+ 1618.412705*(H243)
- 18491.87448*(I243)
+ 29382.28461*(J243)
+ 18098.25052*(K243)
+ 42659.1453*(L243)</f>
        <v>667673.64057294244</v>
      </c>
      <c r="N243">
        <f>B243-M243</f>
        <v>8663.7694270575885</v>
      </c>
    </row>
    <row r="244" spans="1:14">
      <c r="A244" t="s">
        <v>82</v>
      </c>
      <c r="B244">
        <v>763159.92</v>
      </c>
      <c r="C244">
        <v>53546.34</v>
      </c>
      <c r="D244">
        <v>8004</v>
      </c>
      <c r="E244">
        <v>95.2</v>
      </c>
      <c r="F244">
        <v>3</v>
      </c>
      <c r="G244">
        <v>0</v>
      </c>
      <c r="H244">
        <v>1</v>
      </c>
      <c r="I244">
        <v>0</v>
      </c>
      <c r="J244">
        <v>0</v>
      </c>
      <c r="K244">
        <v>0</v>
      </c>
      <c r="L244">
        <v>1</v>
      </c>
      <c r="M244" s="3">
        <f xml:space="preserve">
58353.13397
+ 1.209015414*(C244)
+ 34.01462932*(D244)
+ 3047.928974*(E244)
+ 13439.3628*(F244)
- 12401.60265*(G244)
+ 1618.412705*(H244)
- 18491.87448*(I244)
+ 29382.28461*(J244)
+ 18098.25052*(K244)
+ 42659.1453*(L244)</f>
        <v>770103.06220036477</v>
      </c>
      <c r="N244">
        <f>B244-M244</f>
        <v>-6943.1422003647313</v>
      </c>
    </row>
    <row r="245" spans="1:14">
      <c r="A245" t="s">
        <v>82</v>
      </c>
      <c r="B245">
        <v>828219.67</v>
      </c>
      <c r="C245">
        <v>70799.64</v>
      </c>
      <c r="D245">
        <v>10076</v>
      </c>
      <c r="E245">
        <v>84.8</v>
      </c>
      <c r="F245">
        <v>3.5</v>
      </c>
      <c r="G245">
        <v>0</v>
      </c>
      <c r="H245">
        <v>1</v>
      </c>
      <c r="I245">
        <v>0</v>
      </c>
      <c r="J245">
        <v>0</v>
      </c>
      <c r="K245">
        <v>0</v>
      </c>
      <c r="L245">
        <v>1</v>
      </c>
      <c r="M245" s="3">
        <f xml:space="preserve">
58353.13397
+ 1.209015414*(C245)
+ 34.01462932*(D245)
+ 3047.928974*(E245)
+ 13439.3628*(F245)
- 12401.60265*(G245)
+ 1618.412705*(H245)
- 18491.87448*(I245)
+ 29382.28461*(J245)
+ 18098.25052*(K245)
+ 42659.1453*(L245)</f>
        <v>836462.09986417089</v>
      </c>
      <c r="N245">
        <f>B245-M245</f>
        <v>-8242.4298641708447</v>
      </c>
    </row>
    <row r="246" spans="1:14">
      <c r="A246" t="s">
        <v>83</v>
      </c>
      <c r="B246">
        <v>802001.68</v>
      </c>
      <c r="C246">
        <v>76942.2</v>
      </c>
      <c r="D246">
        <v>8934</v>
      </c>
      <c r="E246">
        <v>91</v>
      </c>
      <c r="F246">
        <v>3.2</v>
      </c>
      <c r="G246">
        <v>0</v>
      </c>
      <c r="H246">
        <v>0</v>
      </c>
      <c r="I246">
        <v>1</v>
      </c>
      <c r="J246">
        <v>0</v>
      </c>
      <c r="K246">
        <v>1</v>
      </c>
      <c r="L246">
        <v>0</v>
      </c>
      <c r="M246" s="3">
        <f xml:space="preserve">
58353.13397
+ 1.209015414*(C246)
+ 34.01462932*(D246)
+ 3047.928974*(E246)
+ 13439.3628*(F246)
- 12401.60265*(G246)
+ 1618.412705*(H246)
- 18491.87448*(I246)
+ 29382.28461*(J246)
+ 18098.25052*(K246)
+ 42659.1453*(L246)</f>
        <v>775238.01173595083</v>
      </c>
      <c r="N246">
        <f>B246-M246</f>
        <v>26763.668264049222</v>
      </c>
    </row>
    <row r="247" spans="1:14">
      <c r="A247" t="s">
        <v>83</v>
      </c>
      <c r="B247">
        <v>750471.34</v>
      </c>
      <c r="C247">
        <v>48060.78</v>
      </c>
      <c r="D247">
        <v>8733</v>
      </c>
      <c r="E247">
        <v>89.9</v>
      </c>
      <c r="F247">
        <v>3.4</v>
      </c>
      <c r="G247">
        <v>0</v>
      </c>
      <c r="H247">
        <v>0</v>
      </c>
      <c r="I247">
        <v>1</v>
      </c>
      <c r="J247">
        <v>0</v>
      </c>
      <c r="K247">
        <v>1</v>
      </c>
      <c r="L247">
        <v>0</v>
      </c>
      <c r="M247" s="3">
        <f xml:space="preserve">
58353.13397
+ 1.209015414*(C247)
+ 34.01462932*(D247)
+ 3047.928974*(E247)
+ 13439.3628*(F247)
- 12401.60265*(G247)
+ 1618.412705*(H247)
- 18491.87448*(I247)
+ 29382.28461*(J247)
+ 18098.25052*(K247)
+ 42659.1453*(L247)</f>
        <v>732818.13997302286</v>
      </c>
      <c r="N247">
        <f>B247-M247</f>
        <v>17653.200026977109</v>
      </c>
    </row>
    <row r="248" spans="1:14">
      <c r="A248" t="s">
        <v>83</v>
      </c>
      <c r="B248">
        <v>679888.74</v>
      </c>
      <c r="C248">
        <v>21536.18</v>
      </c>
      <c r="D248">
        <v>8119</v>
      </c>
      <c r="E248">
        <v>90.4</v>
      </c>
      <c r="F248">
        <v>3.3</v>
      </c>
      <c r="G248">
        <v>0</v>
      </c>
      <c r="H248">
        <v>0</v>
      </c>
      <c r="I248">
        <v>1</v>
      </c>
      <c r="J248">
        <v>0</v>
      </c>
      <c r="K248">
        <v>1</v>
      </c>
      <c r="L248">
        <v>0</v>
      </c>
      <c r="M248" s="3">
        <f xml:space="preserve">
58353.13397
+ 1.209015414*(C248)
+ 34.01462932*(D248)
+ 3047.928974*(E248)
+ 13439.3628*(F248)
- 12401.60265*(G248)
+ 1618.412705*(H248)
- 18491.87448*(I248)
+ 29382.28461*(J248)
+ 18098.25052*(K248)
+ 42659.1453*(L248)</f>
        <v>680044.53552735841</v>
      </c>
      <c r="N248">
        <f>B248-M248</f>
        <v>-155.79552735842299</v>
      </c>
    </row>
    <row r="249" spans="1:14">
      <c r="A249" t="s">
        <v>83</v>
      </c>
      <c r="B249">
        <v>679230.86</v>
      </c>
      <c r="C249">
        <v>57390.04</v>
      </c>
      <c r="D249">
        <v>7374</v>
      </c>
      <c r="E249">
        <v>91.8</v>
      </c>
      <c r="F249">
        <v>3.1</v>
      </c>
      <c r="G249">
        <v>0</v>
      </c>
      <c r="H249">
        <v>0</v>
      </c>
      <c r="I249">
        <v>1</v>
      </c>
      <c r="J249">
        <v>0</v>
      </c>
      <c r="K249">
        <v>1</v>
      </c>
      <c r="L249">
        <v>0</v>
      </c>
      <c r="M249" s="3">
        <f xml:space="preserve">
58353.13397
+ 1.209015414*(C249)
+ 34.01462932*(D249)
+ 3047.928974*(E249)
+ 13439.3628*(F249)
- 12401.60265*(G249)
+ 1618.412705*(H249)
- 18491.87448*(I249)
+ 29382.28461*(J249)
+ 18098.25052*(K249)
+ 42659.1453*(L249)</f>
        <v>699630.73407895654</v>
      </c>
      <c r="N249">
        <f>B249-M249</f>
        <v>-20399.874078956549</v>
      </c>
    </row>
    <row r="250" spans="1:14">
      <c r="A250" t="s">
        <v>84</v>
      </c>
      <c r="B250">
        <v>729440.45</v>
      </c>
      <c r="C250">
        <v>97480.94</v>
      </c>
      <c r="D250">
        <v>6840</v>
      </c>
      <c r="E250">
        <v>79.2</v>
      </c>
      <c r="F250">
        <v>4</v>
      </c>
      <c r="G250">
        <v>1</v>
      </c>
      <c r="H250">
        <v>0</v>
      </c>
      <c r="I250">
        <v>0</v>
      </c>
      <c r="J250">
        <v>0</v>
      </c>
      <c r="K250">
        <v>1</v>
      </c>
      <c r="L250">
        <v>0</v>
      </c>
      <c r="M250" s="3">
        <f xml:space="preserve">
58353.13397
+ 1.209015414*(C250)
+ 34.01462932*(D250)
+ 3047.928974*(E250)
+ 13439.3628*(F250)
- 12401.60265*(G250)
+ 1618.412705*(H250)
- 18491.87448*(I250)
+ 29382.28461*(J250)
+ 18098.25052*(K250)
+ 42659.1453*(L250)</f>
        <v>709719.23136080918</v>
      </c>
      <c r="N250">
        <f>B250-M250</f>
        <v>19721.218639190774</v>
      </c>
    </row>
    <row r="251" spans="1:14">
      <c r="A251" t="s">
        <v>84</v>
      </c>
      <c r="B251">
        <v>606783.67000000004</v>
      </c>
      <c r="C251">
        <v>40923.67</v>
      </c>
      <c r="D251">
        <v>3875</v>
      </c>
      <c r="E251">
        <v>96.1</v>
      </c>
      <c r="F251">
        <v>3.8</v>
      </c>
      <c r="G251">
        <v>1</v>
      </c>
      <c r="H251">
        <v>0</v>
      </c>
      <c r="I251">
        <v>0</v>
      </c>
      <c r="J251">
        <v>0</v>
      </c>
      <c r="K251">
        <v>1</v>
      </c>
      <c r="L251">
        <v>0</v>
      </c>
      <c r="M251" s="3">
        <f xml:space="preserve">
58353.13397
+ 1.209015414*(C251)
+ 34.01462932*(D251)
+ 3047.928974*(E251)
+ 13439.3628*(F251)
- 12401.60265*(G251)
+ 1618.412705*(H251)
- 18491.87448*(I251)
+ 29382.28461*(J251)
+ 18098.25052*(K251)
+ 42659.1453*(L251)</f>
        <v>589309.37132384931</v>
      </c>
      <c r="N251">
        <f>B251-M251</f>
        <v>17474.298676150735</v>
      </c>
    </row>
    <row r="252" spans="1:14">
      <c r="A252" t="s">
        <v>84</v>
      </c>
      <c r="B252">
        <v>647953.78</v>
      </c>
      <c r="C252">
        <v>38361.93</v>
      </c>
      <c r="D252">
        <v>6322</v>
      </c>
      <c r="E252">
        <v>88.4</v>
      </c>
      <c r="F252">
        <v>4</v>
      </c>
      <c r="G252">
        <v>1</v>
      </c>
      <c r="H252">
        <v>0</v>
      </c>
      <c r="I252">
        <v>0</v>
      </c>
      <c r="J252">
        <v>0</v>
      </c>
      <c r="K252">
        <v>1</v>
      </c>
      <c r="L252">
        <v>0</v>
      </c>
      <c r="M252" s="3">
        <f xml:space="preserve">
58353.13397
+ 1.209015414*(C252)
+ 34.01462932*(D252)
+ 3047.928974*(E252)
+ 13439.3628*(F252)
- 12401.60265*(G252)
+ 1618.412705*(H252)
- 18491.87448*(I252)
+ 29382.28461*(J252)
+ 18098.25052*(K252)
+ 42659.1453*(L252)</f>
        <v>648664.80558342906</v>
      </c>
      <c r="N252">
        <f>B252-M252</f>
        <v>-711.02558342902921</v>
      </c>
    </row>
    <row r="253" spans="1:14">
      <c r="A253" t="s">
        <v>84</v>
      </c>
      <c r="B253">
        <v>642751.42000000004</v>
      </c>
      <c r="C253">
        <v>72932.55</v>
      </c>
      <c r="D253">
        <v>5765</v>
      </c>
      <c r="E253">
        <v>81.8</v>
      </c>
      <c r="F253">
        <v>3.6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 s="3">
        <f xml:space="preserve">
58353.13397
+ 1.209015414*(C253)
+ 34.01462932*(D253)
+ 3047.928974*(E253)
+ 13439.3628*(F253)
- 12401.60265*(G253)
+ 1618.412705*(H253)
- 18491.87448*(I253)
+ 29382.28461*(J253)
+ 18098.25052*(K253)
+ 42659.1453*(L253)</f>
        <v>646022.99315532565</v>
      </c>
      <c r="N253">
        <f>B253-M253</f>
        <v>-3271.5731553256046</v>
      </c>
    </row>
    <row r="254" spans="1:14">
      <c r="A254" t="s">
        <v>85</v>
      </c>
      <c r="B254">
        <v>799046.94</v>
      </c>
      <c r="C254">
        <v>63582.11</v>
      </c>
      <c r="D254">
        <v>6856</v>
      </c>
      <c r="E254">
        <v>89.5</v>
      </c>
      <c r="F254">
        <v>3.2</v>
      </c>
      <c r="G254">
        <v>0</v>
      </c>
      <c r="H254">
        <v>1</v>
      </c>
      <c r="I254">
        <v>0</v>
      </c>
      <c r="J254">
        <v>0</v>
      </c>
      <c r="K254">
        <v>0</v>
      </c>
      <c r="L254">
        <v>1</v>
      </c>
      <c r="M254" s="3">
        <f xml:space="preserve">
58353.13397
+ 1.209015414*(C254)
+ 34.01462932*(D254)
+ 3047.928974*(E254)
+ 13439.3628*(F254)
- 12401.60265*(G254)
+ 1618.412705*(H254)
- 18491.87448*(I254)
+ 29382.28461*(J254)
+ 18098.25052*(K254)
+ 42659.1453*(L254)</f>
        <v>728502.3457705637</v>
      </c>
      <c r="N254">
        <f>B254-M254</f>
        <v>70544.594229436247</v>
      </c>
    </row>
    <row r="255" spans="1:14">
      <c r="A255" t="s">
        <v>85</v>
      </c>
      <c r="B255">
        <v>720079.54</v>
      </c>
      <c r="C255">
        <v>75412.740000000005</v>
      </c>
      <c r="D255">
        <v>5641</v>
      </c>
      <c r="E255">
        <v>87.9</v>
      </c>
      <c r="F255">
        <v>3.6</v>
      </c>
      <c r="G255">
        <v>0</v>
      </c>
      <c r="H255">
        <v>1</v>
      </c>
      <c r="I255">
        <v>0</v>
      </c>
      <c r="J255">
        <v>0</v>
      </c>
      <c r="K255">
        <v>0</v>
      </c>
      <c r="L255">
        <v>1</v>
      </c>
      <c r="M255" s="3">
        <f xml:space="preserve">
58353.13397
+ 1.209015414*(C255)
+ 34.01462932*(D255)
+ 3047.928974*(E255)
+ 13439.3628*(F255)
- 12401.60265*(G255)
+ 1618.412705*(H255)
- 18491.87448*(I255)
+ 29382.28461*(J255)
+ 18098.25052*(K255)
+ 42659.1453*(L255)</f>
        <v>701977.04393569438</v>
      </c>
      <c r="N255">
        <f>B255-M255</f>
        <v>18102.496064305655</v>
      </c>
    </row>
    <row r="256" spans="1:14">
      <c r="A256" t="s">
        <v>85</v>
      </c>
      <c r="B256">
        <v>764949</v>
      </c>
      <c r="C256">
        <v>81801.8</v>
      </c>
      <c r="D256">
        <v>6782</v>
      </c>
      <c r="E256">
        <v>99</v>
      </c>
      <c r="F256">
        <v>3.7</v>
      </c>
      <c r="G256">
        <v>0</v>
      </c>
      <c r="H256">
        <v>1</v>
      </c>
      <c r="I256">
        <v>0</v>
      </c>
      <c r="J256">
        <v>0</v>
      </c>
      <c r="K256">
        <v>0</v>
      </c>
      <c r="L256">
        <v>1</v>
      </c>
      <c r="M256" s="3">
        <f xml:space="preserve">
58353.13397
+ 1.209015414*(C256)
+ 34.01462932*(D256)
+ 3047.928974*(E256)
+ 13439.3628*(F256)
- 12401.60265*(G256)
+ 1618.412705*(H256)
- 18491.87448*(I256)
+ 29382.28461*(J256)
+ 18098.25052*(K256)
+ 42659.1453*(L256)</f>
        <v>783688.15590218524</v>
      </c>
      <c r="N256">
        <f>B256-M256</f>
        <v>-18739.155902185244</v>
      </c>
    </row>
    <row r="257" spans="1:14">
      <c r="A257" t="s">
        <v>85</v>
      </c>
      <c r="B257">
        <v>612390.14</v>
      </c>
      <c r="C257">
        <v>36290.080000000002</v>
      </c>
      <c r="D257">
        <v>5787</v>
      </c>
      <c r="E257">
        <v>88.3</v>
      </c>
      <c r="F257">
        <v>4.0999999999999996</v>
      </c>
      <c r="G257">
        <v>0</v>
      </c>
      <c r="H257">
        <v>1</v>
      </c>
      <c r="I257">
        <v>0</v>
      </c>
      <c r="J257">
        <v>0</v>
      </c>
      <c r="K257">
        <v>0</v>
      </c>
      <c r="L257">
        <v>1</v>
      </c>
      <c r="M257" s="3">
        <f xml:space="preserve">
58353.13397
+ 1.209015414*(C257)
+ 34.01462932*(D257)
+ 3047.928974*(E257)
+ 13439.3628*(F257)
- 12401.60265*(G257)
+ 1618.412705*(H257)
- 18491.87448*(I257)
+ 29382.28461*(J257)
+ 18098.25052*(K257)
+ 42659.1453*(L257)</f>
        <v>667582.13382933312</v>
      </c>
      <c r="N257">
        <f>B257-M257</f>
        <v>-55191.993829333107</v>
      </c>
    </row>
    <row r="258" spans="1:14">
      <c r="A258" t="s">
        <v>86</v>
      </c>
      <c r="B258">
        <v>840108.12</v>
      </c>
      <c r="C258">
        <v>65272.58</v>
      </c>
      <c r="D258">
        <v>8165</v>
      </c>
      <c r="E258">
        <v>87.8</v>
      </c>
      <c r="F258">
        <v>4.3</v>
      </c>
      <c r="G258">
        <v>0</v>
      </c>
      <c r="H258">
        <v>1</v>
      </c>
      <c r="I258">
        <v>0</v>
      </c>
      <c r="J258">
        <v>1</v>
      </c>
      <c r="K258">
        <v>0</v>
      </c>
      <c r="L258">
        <v>0</v>
      </c>
      <c r="M258" s="3">
        <f xml:space="preserve">
58353.13397
+ 1.209015414*(C258)
+ 34.01462932*(D258)
+ 3047.928974*(E258)
+ 13439.3628*(F258)
- 12401.60265*(G258)
+ 1618.412705*(H258)
- 18491.87448*(I258)
+ 29382.28461*(J258)
+ 18098.25052*(K258)
+ 42659.1453*(L258)</f>
        <v>771396.25897154806</v>
      </c>
      <c r="N258">
        <f>B258-M258</f>
        <v>68711.861028451938</v>
      </c>
    </row>
    <row r="259" spans="1:14">
      <c r="A259" t="s">
        <v>86</v>
      </c>
      <c r="B259">
        <v>776110.32</v>
      </c>
      <c r="C259">
        <v>38397.82</v>
      </c>
      <c r="D259">
        <v>7836</v>
      </c>
      <c r="E259">
        <v>92.2</v>
      </c>
      <c r="F259">
        <v>3.6</v>
      </c>
      <c r="G259">
        <v>0</v>
      </c>
      <c r="H259">
        <v>1</v>
      </c>
      <c r="I259">
        <v>0</v>
      </c>
      <c r="J259">
        <v>1</v>
      </c>
      <c r="K259">
        <v>0</v>
      </c>
      <c r="L259">
        <v>0</v>
      </c>
      <c r="M259" s="3">
        <f xml:space="preserve">
58353.13397
+ 1.209015414*(C259)
+ 34.01462932*(D259)
+ 3047.928974*(E259)
+ 13439.3628*(F259)
- 12401.60265*(G259)
+ 1618.412705*(H259)
- 18491.87448*(I259)
+ 29382.28461*(J259)
+ 18098.25052*(K259)
+ 42659.1453*(L259)</f>
        <v>731716.78036331746</v>
      </c>
      <c r="N259">
        <f>B259-M259</f>
        <v>44393.539636682486</v>
      </c>
    </row>
    <row r="260" spans="1:14">
      <c r="A260" t="s">
        <v>86</v>
      </c>
      <c r="B260">
        <v>697888.09</v>
      </c>
      <c r="C260">
        <v>28670.43</v>
      </c>
      <c r="D260">
        <v>7574</v>
      </c>
      <c r="E260">
        <v>82.7</v>
      </c>
      <c r="F260">
        <v>4.5999999999999996</v>
      </c>
      <c r="G260">
        <v>0</v>
      </c>
      <c r="H260">
        <v>1</v>
      </c>
      <c r="I260">
        <v>0</v>
      </c>
      <c r="J260">
        <v>1</v>
      </c>
      <c r="K260">
        <v>0</v>
      </c>
      <c r="L260">
        <v>0</v>
      </c>
      <c r="M260" s="3">
        <f xml:space="preserve">
58353.13397
+ 1.209015414*(C260)
+ 34.01462932*(D260)
+ 3047.928974*(E260)
+ 13439.3628*(F260)
- 12401.60265*(G260)
+ 1618.412705*(H260)
- 18491.87448*(I260)
+ 29382.28461*(J260)
+ 18098.25052*(K260)
+ 42659.1453*(L260)</f>
        <v>695528.42058048805</v>
      </c>
      <c r="N260">
        <f>B260-M260</f>
        <v>2359.6694195119198</v>
      </c>
    </row>
    <row r="261" spans="1:14">
      <c r="A261" t="s">
        <v>86</v>
      </c>
      <c r="B261">
        <v>746115.59</v>
      </c>
      <c r="C261">
        <v>44189.34</v>
      </c>
      <c r="D261">
        <v>8634</v>
      </c>
      <c r="E261">
        <v>87.5</v>
      </c>
      <c r="F261">
        <v>4.4000000000000004</v>
      </c>
      <c r="G261">
        <v>0</v>
      </c>
      <c r="H261">
        <v>1</v>
      </c>
      <c r="I261">
        <v>0</v>
      </c>
      <c r="J261">
        <v>1</v>
      </c>
      <c r="K261">
        <v>0</v>
      </c>
      <c r="L261">
        <v>0</v>
      </c>
      <c r="M261" s="3">
        <f xml:space="preserve">
58353.13397
+ 1.209015414*(C261)
+ 34.01462932*(D261)
+ 3047.928974*(E261)
+ 13439.3628*(F261)
- 12401.60265*(G261)
+ 1618.412705*(H261)
- 18491.87448*(I261)
+ 29382.28461*(J261)
+ 18098.25052*(K261)
+ 42659.1453*(L261)</f>
        <v>762288.71557336673</v>
      </c>
      <c r="N261">
        <f>B261-M261</f>
        <v>-16173.125573366764</v>
      </c>
    </row>
    <row r="262" spans="1:14">
      <c r="A262" t="s">
        <v>87</v>
      </c>
      <c r="B262">
        <v>677640.65</v>
      </c>
      <c r="C262">
        <v>51450.55</v>
      </c>
      <c r="D262">
        <v>4902</v>
      </c>
      <c r="E262">
        <v>83.7</v>
      </c>
      <c r="F262">
        <v>4.2</v>
      </c>
      <c r="G262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 s="3">
        <f xml:space="preserve">
58353.13397
+ 1.209015414*(C262)
+ 34.01462932*(D262)
+ 3047.928974*(E262)
+ 13439.3628*(F262)
- 12401.60265*(G262)
+ 1618.412705*(H262)
- 18491.87448*(I262)
+ 29382.28461*(J262)
+ 18098.25052*(K262)
+ 42659.1453*(L262)</f>
        <v>616952.58430921775</v>
      </c>
      <c r="N262">
        <f>B262-M262</f>
        <v>60688.06569078227</v>
      </c>
    </row>
    <row r="263" spans="1:14">
      <c r="A263" t="s">
        <v>87</v>
      </c>
      <c r="B263">
        <v>636613.23</v>
      </c>
      <c r="C263">
        <v>58688.26</v>
      </c>
      <c r="D263">
        <v>4022</v>
      </c>
      <c r="E263">
        <v>93.8</v>
      </c>
      <c r="F263">
        <v>3.7</v>
      </c>
      <c r="G263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 s="3">
        <f xml:space="preserve">
58353.13397
+ 1.209015414*(C263)
+ 34.01462932*(D263)
+ 3047.928974*(E263)
+ 13439.3628*(F263)
- 12401.60265*(G263)
+ 1618.412705*(H263)
- 18491.87448*(I263)
+ 29382.28461*(J263)
+ 18098.25052*(K263)
+ 42659.1453*(L263)</f>
        <v>619834.61469707976</v>
      </c>
      <c r="N263">
        <f>B263-M263</f>
        <v>16778.615302920225</v>
      </c>
    </row>
    <row r="264" spans="1:14">
      <c r="A264" t="s">
        <v>87</v>
      </c>
      <c r="B264">
        <v>528852.62</v>
      </c>
      <c r="C264">
        <v>14519.37</v>
      </c>
      <c r="D264">
        <v>3047</v>
      </c>
      <c r="E264">
        <v>90.3</v>
      </c>
      <c r="F264">
        <v>4.2</v>
      </c>
      <c r="G264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 s="3">
        <f xml:space="preserve">
58353.13397
+ 1.209015414*(C264)
+ 34.01462932*(D264)
+ 3047.928974*(E264)
+ 13439.3628*(F264)
- 12401.60265*(G264)
+ 1618.412705*(H264)
- 18491.87448*(I264)
+ 29382.28461*(J264)
+ 18098.25052*(K264)
+ 42659.1453*(L264)</f>
        <v>529321.41227180907</v>
      </c>
      <c r="N264">
        <f>B264-M264</f>
        <v>-468.79227180907037</v>
      </c>
    </row>
    <row r="265" spans="1:14">
      <c r="A265" t="s">
        <v>87</v>
      </c>
      <c r="B265">
        <v>605751.32999999996</v>
      </c>
      <c r="C265">
        <v>43288.2</v>
      </c>
      <c r="D265">
        <v>4783</v>
      </c>
      <c r="E265">
        <v>87.3</v>
      </c>
      <c r="F265">
        <v>4.2</v>
      </c>
      <c r="G265">
        <v>0</v>
      </c>
      <c r="H265">
        <v>0</v>
      </c>
      <c r="I265">
        <v>0</v>
      </c>
      <c r="J265">
        <v>0</v>
      </c>
      <c r="K265">
        <v>1</v>
      </c>
      <c r="L265">
        <v>0</v>
      </c>
      <c r="M265" s="3">
        <f xml:space="preserve">
58353.13397
+ 1.209015414*(C265)
+ 34.01462932*(D265)
+ 3047.928974*(E265)
+ 13439.3628*(F265)
- 12401.60265*(G265)
+ 1618.412705*(H265)
- 18491.87448*(I265)
+ 29382.28461*(J265)
+ 18098.25052*(K265)
+ 42659.1453*(L265)</f>
        <v>614008.98076207482</v>
      </c>
      <c r="N265">
        <f>B265-M265</f>
        <v>-8257.6507620748598</v>
      </c>
    </row>
    <row r="266" spans="1:14">
      <c r="A266" t="s">
        <v>88</v>
      </c>
      <c r="B266">
        <v>762328.31</v>
      </c>
      <c r="C266">
        <v>67722.289999999994</v>
      </c>
      <c r="D266">
        <v>7240</v>
      </c>
      <c r="E266">
        <v>92.9</v>
      </c>
      <c r="F266">
        <v>3.5</v>
      </c>
      <c r="G266">
        <v>0</v>
      </c>
      <c r="H266">
        <v>0</v>
      </c>
      <c r="I266">
        <v>1</v>
      </c>
      <c r="J266">
        <v>0</v>
      </c>
      <c r="K266">
        <v>1</v>
      </c>
      <c r="L266">
        <v>0</v>
      </c>
      <c r="M266" s="3">
        <f xml:space="preserve">
58353.13397
+ 1.209015414*(C266)
+ 34.01462932*(D266)
+ 3047.928974*(E266)
+ 13439.3628*(F266)
- 12401.60265*(G266)
+ 1618.412705*(H266)
- 18491.87448*(I266)
+ 29382.28461*(J266)
+ 18098.25052*(K266)
+ 42659.1453*(L266)</f>
        <v>716293.09025277803</v>
      </c>
      <c r="N266">
        <f>B266-M266</f>
        <v>46035.219747222029</v>
      </c>
    </row>
    <row r="267" spans="1:14">
      <c r="A267" t="s">
        <v>88</v>
      </c>
      <c r="B267">
        <v>767792.94</v>
      </c>
      <c r="C267">
        <v>73454.539999999994</v>
      </c>
      <c r="D267">
        <v>8129</v>
      </c>
      <c r="E267">
        <v>85.2</v>
      </c>
      <c r="F267">
        <v>3.7</v>
      </c>
      <c r="G267">
        <v>0</v>
      </c>
      <c r="H267">
        <v>0</v>
      </c>
      <c r="I267">
        <v>1</v>
      </c>
      <c r="J267">
        <v>0</v>
      </c>
      <c r="K267">
        <v>1</v>
      </c>
      <c r="L267">
        <v>0</v>
      </c>
      <c r="M267" s="3">
        <f xml:space="preserve">
58353.13397
+ 1.209015414*(C267)
+ 34.01462932*(D267)
+ 3047.928974*(E267)
+ 13439.3628*(F267)
- 12401.60265*(G267)
+ 1618.412705*(H267)
- 18491.87448*(I267)
+ 29382.28461*(J267)
+ 18098.25052*(K267)
+ 42659.1453*(L267)</f>
        <v>732681.29378535959</v>
      </c>
      <c r="N267">
        <f>B267-M267</f>
        <v>35111.64621464035</v>
      </c>
    </row>
    <row r="268" spans="1:14">
      <c r="A268" t="s">
        <v>88</v>
      </c>
      <c r="B268">
        <v>745580.51</v>
      </c>
      <c r="C268">
        <v>56602.39</v>
      </c>
      <c r="D268">
        <v>7969</v>
      </c>
      <c r="E268">
        <v>88.3</v>
      </c>
      <c r="F268">
        <v>3.7</v>
      </c>
      <c r="G268">
        <v>0</v>
      </c>
      <c r="H268">
        <v>0</v>
      </c>
      <c r="I268">
        <v>1</v>
      </c>
      <c r="J268">
        <v>0</v>
      </c>
      <c r="K268">
        <v>1</v>
      </c>
      <c r="L268">
        <v>0</v>
      </c>
      <c r="M268" s="3">
        <f xml:space="preserve">
58353.13397
+ 1.209015414*(C268)
+ 34.01462932*(D268)
+ 3047.928974*(E268)
+ 13439.3628*(F268)
- 12401.60265*(G268)
+ 1618.412705*(H268)
- 18491.87448*(I268)
+ 29382.28461*(J268)
+ 18098.25052*(K268)
+ 42659.1453*(L268)</f>
        <v>716313.02380451944</v>
      </c>
      <c r="N268">
        <f>B268-M268</f>
        <v>29267.486195480567</v>
      </c>
    </row>
    <row r="269" spans="1:14">
      <c r="A269" t="s">
        <v>88</v>
      </c>
      <c r="B269">
        <v>708985.19</v>
      </c>
      <c r="C269">
        <v>58981.91</v>
      </c>
      <c r="D269">
        <v>7324</v>
      </c>
      <c r="E269">
        <v>95.8</v>
      </c>
      <c r="F269">
        <v>3.5</v>
      </c>
      <c r="G269">
        <v>0</v>
      </c>
      <c r="H269">
        <v>0</v>
      </c>
      <c r="I269">
        <v>1</v>
      </c>
      <c r="J269">
        <v>0</v>
      </c>
      <c r="K269">
        <v>1</v>
      </c>
      <c r="L269">
        <v>0</v>
      </c>
      <c r="M269" s="3">
        <f xml:space="preserve">
58353.13397
+ 1.209015414*(C269)
+ 34.01462932*(D269)
+ 3047.928974*(E269)
+ 13439.3628*(F269)
- 12401.60265*(G269)
+ 1618.412705*(H269)
- 18491.87448*(I269)
+ 29382.28461*(J269)
+ 18098.25052*(K269)
+ 42659.1453*(L269)</f>
        <v>717422.05899604072</v>
      </c>
      <c r="N269">
        <f>B269-M269</f>
        <v>-8436.8689960407792</v>
      </c>
    </row>
    <row r="270" spans="1:14">
      <c r="A270" t="s">
        <v>89</v>
      </c>
      <c r="B270">
        <v>739374.56</v>
      </c>
      <c r="C270">
        <v>23914.97</v>
      </c>
      <c r="D270">
        <v>8018</v>
      </c>
      <c r="E270">
        <v>89</v>
      </c>
      <c r="F270">
        <v>3.5</v>
      </c>
      <c r="G270">
        <v>0</v>
      </c>
      <c r="H270">
        <v>0</v>
      </c>
      <c r="I270">
        <v>1</v>
      </c>
      <c r="J270">
        <v>1</v>
      </c>
      <c r="K270">
        <v>0</v>
      </c>
      <c r="L270">
        <v>0</v>
      </c>
      <c r="M270" s="3">
        <f xml:space="preserve">
58353.13397
+ 1.209015414*(C270)
+ 34.01462932*(D270)
+ 3047.928974*(E270)
+ 13439.3628*(F270)
- 12401.60265*(G270)
+ 1618.412705*(H270)
- 18491.87448*(I270)
+ 29382.28461*(J270)
+ 18098.25052*(K270)
+ 42659.1453*(L270)</f>
        <v>689189.85782910755</v>
      </c>
      <c r="N270">
        <f>B270-M270</f>
        <v>50184.702170892502</v>
      </c>
    </row>
    <row r="271" spans="1:14">
      <c r="A271" t="s">
        <v>89</v>
      </c>
      <c r="B271">
        <v>799756.46</v>
      </c>
      <c r="C271">
        <v>61995.3</v>
      </c>
      <c r="D271">
        <v>10192</v>
      </c>
      <c r="E271">
        <v>87.6</v>
      </c>
      <c r="F271">
        <v>3.8</v>
      </c>
      <c r="G271">
        <v>0</v>
      </c>
      <c r="H271">
        <v>0</v>
      </c>
      <c r="I271">
        <v>1</v>
      </c>
      <c r="J271">
        <v>1</v>
      </c>
      <c r="K271">
        <v>0</v>
      </c>
      <c r="L271">
        <v>0</v>
      </c>
      <c r="M271" s="3">
        <f xml:space="preserve">
58353.13397
+ 1.209015414*(C271)
+ 34.01462932*(D271)
+ 3047.928974*(E271)
+ 13439.3628*(F271)
- 12401.60265*(G271)
+ 1618.412705*(H271)
- 18491.87448*(I271)
+ 29382.28461*(J271)
+ 18098.25052*(K271)
+ 42659.1453*(L271)</f>
        <v>808942.07618739409</v>
      </c>
      <c r="N271">
        <f>B271-M271</f>
        <v>-9185.616187394131</v>
      </c>
    </row>
    <row r="272" spans="1:14">
      <c r="A272" t="s">
        <v>89</v>
      </c>
      <c r="B272">
        <v>593343</v>
      </c>
      <c r="C272">
        <v>29344.93</v>
      </c>
      <c r="D272">
        <v>7446</v>
      </c>
      <c r="E272">
        <v>86.2</v>
      </c>
      <c r="F272">
        <v>3.2</v>
      </c>
      <c r="G272">
        <v>0</v>
      </c>
      <c r="H272">
        <v>0</v>
      </c>
      <c r="I272">
        <v>1</v>
      </c>
      <c r="J272">
        <v>1</v>
      </c>
      <c r="K272">
        <v>0</v>
      </c>
      <c r="L272">
        <v>0</v>
      </c>
      <c r="M272" s="3">
        <f xml:space="preserve">
58353.13397
+ 1.209015414*(C272)
+ 34.01462932*(D272)
+ 3047.928974*(E272)
+ 13439.3628*(F272)
- 12401.60265*(G272)
+ 1618.412705*(H272)
- 18491.87448*(I272)
+ 29382.28461*(J272)
+ 18098.25052*(K272)
+ 42659.1453*(L272)</f>
        <v>663732.38522827113</v>
      </c>
      <c r="N272">
        <f>B272-M272</f>
        <v>-70389.38522827113</v>
      </c>
    </row>
    <row r="273" spans="1:14">
      <c r="A273" t="s">
        <v>89</v>
      </c>
      <c r="B273">
        <v>660633.99</v>
      </c>
      <c r="C273">
        <v>48752.92</v>
      </c>
      <c r="D273">
        <v>8052</v>
      </c>
      <c r="E273">
        <v>94.9</v>
      </c>
      <c r="F273">
        <v>3.6</v>
      </c>
      <c r="G273">
        <v>0</v>
      </c>
      <c r="H273">
        <v>0</v>
      </c>
      <c r="I273">
        <v>1</v>
      </c>
      <c r="J273">
        <v>1</v>
      </c>
      <c r="K273">
        <v>0</v>
      </c>
      <c r="L273">
        <v>0</v>
      </c>
      <c r="M273" s="3">
        <f xml:space="preserve">
58353.13397
+ 1.209015414*(C273)
+ 34.01462932*(D273)
+ 3047.928974*(E273)
+ 13439.3628*(F273)
- 12401.60265*(G273)
+ 1618.412705*(H273)
- 18491.87448*(I273)
+ 29382.28461*(J273)
+ 18098.25052*(K273)
+ 42659.1453*(L273)</f>
        <v>739702.53685474896</v>
      </c>
      <c r="N273">
        <f>B273-M273</f>
        <v>-79068.546854748973</v>
      </c>
    </row>
    <row r="274" spans="1:14">
      <c r="A274" t="s">
        <v>90</v>
      </c>
      <c r="B274">
        <v>686737.87</v>
      </c>
      <c r="C274">
        <v>38297.58</v>
      </c>
      <c r="D274">
        <v>5893</v>
      </c>
      <c r="E274">
        <v>77.599999999999994</v>
      </c>
      <c r="F274">
        <v>3</v>
      </c>
      <c r="G274">
        <v>0</v>
      </c>
      <c r="H274">
        <v>0</v>
      </c>
      <c r="I274">
        <v>0</v>
      </c>
      <c r="J274">
        <v>0</v>
      </c>
      <c r="K274">
        <v>1</v>
      </c>
      <c r="L274">
        <v>0</v>
      </c>
      <c r="M274" s="3">
        <f xml:space="preserve">
58353.13397
+ 1.209015414*(C274)
+ 34.01462932*(D274)
+ 3047.928974*(E274)
+ 13439.3628*(F274)
- 12401.60265*(G274)
+ 1618.412705*(H274)
- 18491.87448*(I274)
+ 29382.28461*(J274)
+ 18098.25052*(K274)
+ 42659.1453*(L274)</f>
        <v>600039.33639405807</v>
      </c>
      <c r="N274">
        <f>B274-M274</f>
        <v>86698.533605941921</v>
      </c>
    </row>
    <row r="275" spans="1:14">
      <c r="A275" t="s">
        <v>90</v>
      </c>
      <c r="B275">
        <v>561597.32999999996</v>
      </c>
      <c r="C275">
        <v>17562.57</v>
      </c>
      <c r="D275">
        <v>3326</v>
      </c>
      <c r="E275">
        <v>88.1</v>
      </c>
      <c r="F275">
        <v>3.1</v>
      </c>
      <c r="G275">
        <v>0</v>
      </c>
      <c r="H275">
        <v>0</v>
      </c>
      <c r="I275">
        <v>0</v>
      </c>
      <c r="J275">
        <v>0</v>
      </c>
      <c r="K275">
        <v>1</v>
      </c>
      <c r="L275">
        <v>0</v>
      </c>
      <c r="M275" s="3">
        <f xml:space="preserve">
58353.13397
+ 1.209015414*(C275)
+ 34.01462932*(D275)
+ 3047.928974*(E275)
+ 13439.3628*(F275)
- 12401.60265*(G275)
+ 1618.412705*(H275)
- 18491.87448*(I275)
+ 29382.28461*(J275)
+ 18098.25052*(K275)
+ 42659.1453*(L275)</f>
        <v>521002.02673717402</v>
      </c>
      <c r="N275">
        <f>B275-M275</f>
        <v>40595.303262825939</v>
      </c>
    </row>
    <row r="276" spans="1:14">
      <c r="A276" t="s">
        <v>90</v>
      </c>
      <c r="B276">
        <v>645039.97</v>
      </c>
      <c r="C276">
        <v>50532.17</v>
      </c>
      <c r="D276">
        <v>5689</v>
      </c>
      <c r="E276">
        <v>85.6</v>
      </c>
      <c r="F276">
        <v>3.3</v>
      </c>
      <c r="G276">
        <v>0</v>
      </c>
      <c r="H276">
        <v>0</v>
      </c>
      <c r="I276">
        <v>0</v>
      </c>
      <c r="J276">
        <v>0</v>
      </c>
      <c r="K276">
        <v>1</v>
      </c>
      <c r="L276">
        <v>0</v>
      </c>
      <c r="M276" s="3">
        <f xml:space="preserve">
58353.13397
+ 1.209015414*(C276)
+ 34.01462932*(D276)
+ 3047.928974*(E276)
+ 13439.3628*(F276)
- 12401.60265*(G276)
+ 1618.412705*(H276)
- 18491.87448*(I276)
+ 29382.28461*(J276)
+ 18098.25052*(K276)
+ 42659.1453*(L276)</f>
        <v>636307.40053874836</v>
      </c>
      <c r="N276">
        <f>B276-M276</f>
        <v>8732.569461251609</v>
      </c>
    </row>
    <row r="277" spans="1:14">
      <c r="A277" t="s">
        <v>90</v>
      </c>
      <c r="B277">
        <v>635837.74</v>
      </c>
      <c r="C277">
        <v>47648.71</v>
      </c>
      <c r="D277">
        <v>5767</v>
      </c>
      <c r="E277">
        <v>89.8</v>
      </c>
      <c r="F277">
        <v>3.1</v>
      </c>
      <c r="G277">
        <v>0</v>
      </c>
      <c r="H277">
        <v>0</v>
      </c>
      <c r="I277">
        <v>0</v>
      </c>
      <c r="J277">
        <v>0</v>
      </c>
      <c r="K277">
        <v>1</v>
      </c>
      <c r="L277">
        <v>0</v>
      </c>
      <c r="M277" s="3">
        <f xml:space="preserve">
58353.13397
+ 1.209015414*(C277)
+ 34.01462932*(D277)
+ 3047.928974*(E277)
+ 13439.3628*(F277)
- 12401.60265*(G277)
+ 1618.412705*(H277)
- 18491.87448*(I277)
+ 29382.28461*(J277)
+ 18098.25052*(K277)
+ 42659.1453*(L277)</f>
        <v>645587.82317085587</v>
      </c>
      <c r="N277">
        <f>B277-M277</f>
        <v>-9750.0831708558835</v>
      </c>
    </row>
    <row r="278" spans="1:14">
      <c r="A278" t="s">
        <v>91</v>
      </c>
      <c r="B278">
        <v>738548.42</v>
      </c>
      <c r="C278">
        <v>36832.33</v>
      </c>
      <c r="D278">
        <v>8001</v>
      </c>
      <c r="E278">
        <v>88.7</v>
      </c>
      <c r="F278">
        <v>4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0</v>
      </c>
      <c r="M278" s="3">
        <f xml:space="preserve">
58353.13397
+ 1.209015414*(C278)
+ 34.01462932*(D278)
+ 3047.928974*(E278)
+ 13439.3628*(F278)
- 12401.60265*(G278)
+ 1618.412705*(H278)
- 18491.87448*(I278)
+ 29382.28461*(J278)
+ 18098.25052*(K278)
+ 42659.1453*(L278)</f>
        <v>700762.20176165458</v>
      </c>
      <c r="N278">
        <f>B278-M278</f>
        <v>37786.218238345464</v>
      </c>
    </row>
    <row r="279" spans="1:14">
      <c r="A279" t="s">
        <v>91</v>
      </c>
      <c r="B279">
        <v>756619.77</v>
      </c>
      <c r="C279">
        <v>48609.41</v>
      </c>
      <c r="D279">
        <v>9324</v>
      </c>
      <c r="E279">
        <v>86.5</v>
      </c>
      <c r="F279">
        <v>3.9</v>
      </c>
      <c r="G279">
        <v>0</v>
      </c>
      <c r="H279">
        <v>1</v>
      </c>
      <c r="I279">
        <v>0</v>
      </c>
      <c r="J279">
        <v>0</v>
      </c>
      <c r="K279">
        <v>0</v>
      </c>
      <c r="L279">
        <v>0</v>
      </c>
      <c r="M279" s="3">
        <f xml:space="preserve">
58353.13397
+ 1.209015414*(C279)
+ 34.01462932*(D279)
+ 3047.928974*(E279)
+ 13439.3628*(F279)
- 12401.60265*(G279)
+ 1618.412705*(H279)
- 18491.87448*(I279)
+ 29382.28461*(J279)
+ 18098.25052*(K279)
+ 42659.1453*(L279)</f>
        <v>751952.8475811258</v>
      </c>
      <c r="N279">
        <f>B279-M279</f>
        <v>4666.9224188742228</v>
      </c>
    </row>
    <row r="280" spans="1:14">
      <c r="A280" t="s">
        <v>91</v>
      </c>
      <c r="B280">
        <v>761122.42</v>
      </c>
      <c r="C280">
        <v>70284.06</v>
      </c>
      <c r="D280">
        <v>9109</v>
      </c>
      <c r="E280">
        <v>87</v>
      </c>
      <c r="F280">
        <v>3.7</v>
      </c>
      <c r="G280">
        <v>0</v>
      </c>
      <c r="H280">
        <v>1</v>
      </c>
      <c r="I280">
        <v>0</v>
      </c>
      <c r="J280">
        <v>0</v>
      </c>
      <c r="K280">
        <v>0</v>
      </c>
      <c r="L280">
        <v>0</v>
      </c>
      <c r="M280" s="3">
        <f xml:space="preserve">
58353.13397
+ 1.209015414*(C280)
+ 34.01462932*(D280)
+ 3047.928974*(E280)
+ 13439.3628*(F280)
- 12401.60265*(G280)
+ 1618.412705*(H280)
- 18491.87448*(I280)
+ 29382.28461*(J280)
+ 18098.25052*(K280)
+ 42659.1453*(L280)</f>
        <v>769680.78014738089</v>
      </c>
      <c r="N280">
        <f>B280-M280</f>
        <v>-8558.3601473808521</v>
      </c>
    </row>
    <row r="281" spans="1:14">
      <c r="A281" t="s">
        <v>91</v>
      </c>
      <c r="B281">
        <v>673076.34</v>
      </c>
      <c r="C281">
        <v>61784.11</v>
      </c>
      <c r="D281">
        <v>8564</v>
      </c>
      <c r="E281">
        <v>87.4</v>
      </c>
      <c r="F281">
        <v>3.4</v>
      </c>
      <c r="G281">
        <v>0</v>
      </c>
      <c r="H281">
        <v>1</v>
      </c>
      <c r="I281">
        <v>0</v>
      </c>
      <c r="J281">
        <v>0</v>
      </c>
      <c r="K281">
        <v>0</v>
      </c>
      <c r="L281">
        <v>0</v>
      </c>
      <c r="M281" s="3">
        <f xml:space="preserve">
58353.13397
+ 1.209015414*(C281)
+ 34.01462932*(D281)
+ 3047.928974*(E281)
+ 13439.3628*(F281)
- 12401.60265*(G281)
+ 1618.412705*(H281)
- 18491.87448*(I281)
+ 29382.28461*(J281)
+ 18098.25052*(K281)
+ 42659.1453*(L281)</f>
        <v>738053.5993493516</v>
      </c>
      <c r="N281">
        <f>B281-M281</f>
        <v>-64977.259349351632</v>
      </c>
    </row>
    <row r="282" spans="1:14">
      <c r="A282" t="s">
        <v>92</v>
      </c>
      <c r="B282">
        <v>714083.68</v>
      </c>
      <c r="C282">
        <v>66104.19</v>
      </c>
      <c r="D282">
        <v>5745</v>
      </c>
      <c r="E282">
        <v>95.8</v>
      </c>
      <c r="F282">
        <v>4</v>
      </c>
      <c r="G282">
        <v>0</v>
      </c>
      <c r="H282">
        <v>1</v>
      </c>
      <c r="I282">
        <v>0</v>
      </c>
      <c r="J282">
        <v>0</v>
      </c>
      <c r="K282">
        <v>1</v>
      </c>
      <c r="L282">
        <v>0</v>
      </c>
      <c r="M282" s="3">
        <f xml:space="preserve">
58353.13397
+ 1.209015414*(C282)
+ 34.01462932*(D282)
+ 3047.928974*(E282)
+ 13439.3628*(F282)
- 12401.60265*(G282)
+ 1618.412705*(H282)
- 18491.87448*(I282)
+ 29382.28461*(J282)
+ 18098.25052*(K282)
+ 42659.1453*(L282)</f>
        <v>699153.87418758473</v>
      </c>
      <c r="N282">
        <f>B282-M282</f>
        <v>14929.805812415318</v>
      </c>
    </row>
    <row r="283" spans="1:14">
      <c r="A283" t="s">
        <v>92</v>
      </c>
      <c r="B283">
        <v>497439.82</v>
      </c>
      <c r="C283">
        <v>18599.21</v>
      </c>
      <c r="D283">
        <v>3027</v>
      </c>
      <c r="E283">
        <v>80.900000000000006</v>
      </c>
      <c r="F283">
        <v>4.2</v>
      </c>
      <c r="G283">
        <v>0</v>
      </c>
      <c r="H283">
        <v>1</v>
      </c>
      <c r="I283">
        <v>0</v>
      </c>
      <c r="J283">
        <v>0</v>
      </c>
      <c r="K283">
        <v>1</v>
      </c>
      <c r="L283">
        <v>0</v>
      </c>
      <c r="M283" s="3">
        <f xml:space="preserve">
58353.13397
+ 1.209015414*(C283)
+ 34.01462932*(D283)
+ 3047.928974*(E283)
+ 13439.3628*(F283)
- 12401.60265*(G283)
+ 1618.412705*(H283)
- 18491.87448*(I283)
+ 29382.28461*(J283)
+ 18098.25052*(K283)
+ 42659.1453*(L283)</f>
        <v>506541.58948146296</v>
      </c>
      <c r="N283">
        <f>B283-M283</f>
        <v>-9101.7694814629504</v>
      </c>
    </row>
    <row r="284" spans="1:14">
      <c r="A284" t="s">
        <v>92</v>
      </c>
      <c r="B284">
        <v>555557.77</v>
      </c>
      <c r="C284">
        <v>34771.26</v>
      </c>
      <c r="D284">
        <v>4355</v>
      </c>
      <c r="E284">
        <v>87.9</v>
      </c>
      <c r="F284">
        <v>4</v>
      </c>
      <c r="G284">
        <v>0</v>
      </c>
      <c r="H284">
        <v>1</v>
      </c>
      <c r="I284">
        <v>0</v>
      </c>
      <c r="J284">
        <v>0</v>
      </c>
      <c r="K284">
        <v>1</v>
      </c>
      <c r="L284">
        <v>0</v>
      </c>
      <c r="M284" s="3">
        <f xml:space="preserve">
58353.13397
+ 1.209015414*(C284)
+ 34.01462932*(D284)
+ 3047.928974*(E284)
+ 13439.3628*(F284)
- 12401.60265*(G284)
+ 1618.412705*(H284)
- 18491.87448*(I284)
+ 29382.28461*(J284)
+ 18098.25052*(K284)
+ 42659.1453*(L284)</f>
        <v>589912.90520240169</v>
      </c>
      <c r="N284">
        <f>B284-M284</f>
        <v>-34355.135202401667</v>
      </c>
    </row>
    <row r="285" spans="1:14">
      <c r="A285" t="s">
        <v>92</v>
      </c>
      <c r="B285">
        <v>524899.56999999995</v>
      </c>
      <c r="C285">
        <v>45940.39</v>
      </c>
      <c r="D285">
        <v>4022</v>
      </c>
      <c r="E285">
        <v>83</v>
      </c>
      <c r="F285">
        <v>3.8</v>
      </c>
      <c r="G285">
        <v>0</v>
      </c>
      <c r="H285">
        <v>1</v>
      </c>
      <c r="I285">
        <v>0</v>
      </c>
      <c r="J285">
        <v>0</v>
      </c>
      <c r="K285">
        <v>1</v>
      </c>
      <c r="L285">
        <v>0</v>
      </c>
      <c r="M285" s="3">
        <f xml:space="preserve">
58353.13397
+ 1.209015414*(C285)
+ 34.01462932*(D285)
+ 3047.928974*(E285)
+ 13439.3628*(F285)
- 12401.60265*(G285)
+ 1618.412705*(H285)
- 18491.87448*(I285)
+ 29382.28461*(J285)
+ 18098.25052*(K285)
+ 42659.1453*(L285)</f>
        <v>574466.95943721151</v>
      </c>
      <c r="N285">
        <f>B285-M285</f>
        <v>-49567.389437211561</v>
      </c>
    </row>
    <row r="286" spans="1:14">
      <c r="A286" t="s">
        <v>93</v>
      </c>
      <c r="B286">
        <v>609949</v>
      </c>
      <c r="C286">
        <v>55371.97</v>
      </c>
      <c r="D286">
        <v>4162</v>
      </c>
      <c r="E286">
        <v>92</v>
      </c>
      <c r="F286">
        <v>4.2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 s="3">
        <f xml:space="preserve">
58353.13397
+ 1.209015414*(C286)
+ 34.01462932*(D286)
+ 3047.928974*(E286)
+ 13439.3628*(F286)
- 12401.60265*(G286)
+ 1618.412705*(H286)
- 18491.87448*(I286)
+ 29382.28461*(J286)
+ 18098.25052*(K286)
+ 42659.1453*(L286)</f>
        <v>603722.37580138561</v>
      </c>
      <c r="N286">
        <f>B286-M286</f>
        <v>6226.6241986143868</v>
      </c>
    </row>
    <row r="287" spans="1:14">
      <c r="A287" t="s">
        <v>93</v>
      </c>
      <c r="B287">
        <v>633009.53</v>
      </c>
      <c r="C287">
        <v>74539.14</v>
      </c>
      <c r="D287">
        <v>4487</v>
      </c>
      <c r="E287">
        <v>90.4</v>
      </c>
      <c r="F287">
        <v>4.5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 s="3">
        <f xml:space="preserve">
58353.13397
+ 1.209015414*(C287)
+ 34.01462932*(D287)
+ 3047.928974*(E287)
+ 13439.3628*(F287)
- 12401.60265*(G287)
+ 1618.412705*(H287)
- 18491.87448*(I287)
+ 29382.28461*(J287)
+ 18098.25052*(K287)
+ 42659.1453*(L287)</f>
        <v>637105.656784744</v>
      </c>
      <c r="N287">
        <f>B287-M287</f>
        <v>-4096.126784743974</v>
      </c>
    </row>
    <row r="288" spans="1:14">
      <c r="A288" t="s">
        <v>93</v>
      </c>
      <c r="B288">
        <v>636775.66</v>
      </c>
      <c r="C288">
        <v>60183.06</v>
      </c>
      <c r="D288">
        <v>5562</v>
      </c>
      <c r="E288">
        <v>86.3</v>
      </c>
      <c r="F288">
        <v>4.5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 s="3">
        <f xml:space="preserve">
58353.13397
+ 1.209015414*(C288)
+ 34.01462932*(D288)
+ 3047.928974*(E288)
+ 13439.3628*(F288)
- 12401.60265*(G288)
+ 1618.412705*(H288)
- 18491.87448*(I288)
+ 29382.28461*(J288)
+ 18098.25052*(K288)
+ 42659.1453*(L288)</f>
        <v>643818.1525057269</v>
      </c>
      <c r="N288">
        <f>B288-M288</f>
        <v>-7042.4925057268701</v>
      </c>
    </row>
    <row r="289" spans="1:14">
      <c r="A289" t="s">
        <v>93</v>
      </c>
      <c r="B289">
        <v>548103.69999999995</v>
      </c>
      <c r="C289">
        <v>40928.69</v>
      </c>
      <c r="D289">
        <v>4094</v>
      </c>
      <c r="E289">
        <v>82.4</v>
      </c>
      <c r="F289">
        <v>4.8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 s="3">
        <f xml:space="preserve">
58353.13397
+ 1.209015414*(C289)
+ 34.01462932*(D289)
+ 3047.928974*(E289)
+ 13439.3628*(F289)
- 12401.60265*(G289)
+ 1618.412705*(H289)
- 18491.87448*(I289)
+ 29382.28461*(J289)
+ 18098.25052*(K289)
+ 42659.1453*(L289)</f>
        <v>562750.73238850769</v>
      </c>
      <c r="N289">
        <f>B289-M289</f>
        <v>-14647.032388507738</v>
      </c>
    </row>
    <row r="290" spans="1:14">
      <c r="A290" t="s">
        <v>94</v>
      </c>
      <c r="B290">
        <v>813316.71</v>
      </c>
      <c r="C290">
        <v>56737.3</v>
      </c>
      <c r="D290">
        <v>8300</v>
      </c>
      <c r="E290">
        <v>83.2</v>
      </c>
      <c r="F290">
        <v>4.3</v>
      </c>
      <c r="G290">
        <v>0</v>
      </c>
      <c r="H290">
        <v>0</v>
      </c>
      <c r="I290">
        <v>1</v>
      </c>
      <c r="J290">
        <v>0</v>
      </c>
      <c r="K290">
        <v>0</v>
      </c>
      <c r="L290">
        <v>0</v>
      </c>
      <c r="M290" s="3">
        <f xml:space="preserve">
58353.13397
+ 1.209015414*(C290)
+ 34.01462932*(D290)
+ 3047.928974*(E290)
+ 13439.3628*(F290)
- 12401.60265*(G290)
+ 1618.412705*(H290)
- 18491.87448*(I290)
+ 29382.28461*(J290)
+ 18098.25052*(K290)
+ 42659.1453*(L290)</f>
        <v>702155.90377154213</v>
      </c>
      <c r="N290">
        <f>B290-M290</f>
        <v>111160.80622845783</v>
      </c>
    </row>
    <row r="291" spans="1:14">
      <c r="A291" t="s">
        <v>94</v>
      </c>
      <c r="B291">
        <v>729424.42</v>
      </c>
      <c r="C291">
        <v>70012.41</v>
      </c>
      <c r="D291">
        <v>8484</v>
      </c>
      <c r="E291">
        <v>72.900000000000006</v>
      </c>
      <c r="F291">
        <v>3.7</v>
      </c>
      <c r="G291">
        <v>0</v>
      </c>
      <c r="H291">
        <v>0</v>
      </c>
      <c r="I291">
        <v>1</v>
      </c>
      <c r="J291">
        <v>0</v>
      </c>
      <c r="K291">
        <v>0</v>
      </c>
      <c r="L291">
        <v>0</v>
      </c>
      <c r="M291" s="3">
        <f xml:space="preserve">
58353.13397
+ 1.209015414*(C291)
+ 34.01462932*(D291)
+ 3047.928974*(E291)
+ 13439.3628*(F291)
- 12401.60265*(G291)
+ 1618.412705*(H291)
- 18491.87448*(I291)
+ 29382.28461*(J291)
+ 18098.25052*(K291)
+ 42659.1453*(L291)</f>
        <v>685007.12206676777</v>
      </c>
      <c r="N291">
        <f>B291-M291</f>
        <v>44417.297933232272</v>
      </c>
    </row>
    <row r="292" spans="1:14">
      <c r="A292" t="s">
        <v>94</v>
      </c>
      <c r="B292">
        <v>702068.92</v>
      </c>
      <c r="C292">
        <v>54080.91</v>
      </c>
      <c r="D292">
        <v>7083</v>
      </c>
      <c r="E292">
        <v>97</v>
      </c>
      <c r="F292">
        <v>4.0999999999999996</v>
      </c>
      <c r="G292">
        <v>0</v>
      </c>
      <c r="H292">
        <v>0</v>
      </c>
      <c r="I292">
        <v>1</v>
      </c>
      <c r="J292">
        <v>0</v>
      </c>
      <c r="K292">
        <v>0</v>
      </c>
      <c r="L292">
        <v>0</v>
      </c>
      <c r="M292" s="3">
        <f xml:space="preserve">
58353.13397
+ 1.209015414*(C292)
+ 34.01462932*(D292)
+ 3047.928974*(E292)
+ 13439.3628*(F292)
- 12401.60265*(G292)
+ 1618.412705*(H292)
- 18491.87448*(I292)
+ 29382.28461*(J292)
+ 18098.25052*(K292)
+ 42659.1453*(L292)</f>
        <v>696922.03071470675</v>
      </c>
      <c r="N292">
        <f>B292-M292</f>
        <v>5146.8892852932913</v>
      </c>
    </row>
    <row r="293" spans="1:14">
      <c r="A293" t="s">
        <v>94</v>
      </c>
      <c r="B293">
        <v>696261.49</v>
      </c>
      <c r="C293">
        <v>68909.259999999995</v>
      </c>
      <c r="D293">
        <v>7794</v>
      </c>
      <c r="E293">
        <v>89</v>
      </c>
      <c r="F293">
        <v>4</v>
      </c>
      <c r="G293">
        <v>0</v>
      </c>
      <c r="H293">
        <v>0</v>
      </c>
      <c r="I293">
        <v>1</v>
      </c>
      <c r="J293">
        <v>0</v>
      </c>
      <c r="K293">
        <v>0</v>
      </c>
      <c r="L293">
        <v>0</v>
      </c>
      <c r="M293" s="3">
        <f xml:space="preserve">
58353.13397
+ 1.209015414*(C293)
+ 34.01462932*(D293)
+ 3047.928974*(E293)
+ 13439.3628*(F293)
- 12401.60265*(G293)
+ 1618.412705*(H293)
- 18491.87448*(I293)
+ 29382.28461*(J293)
+ 18098.25052*(K293)
+ 42659.1453*(L293)</f>
        <v>713306.76780341356</v>
      </c>
      <c r="N293">
        <f>B293-M293</f>
        <v>-17045.27780341357</v>
      </c>
    </row>
    <row r="294" spans="1:14">
      <c r="A294" t="s">
        <v>95</v>
      </c>
      <c r="B294">
        <v>487738.26</v>
      </c>
      <c r="C294">
        <v>27398.28</v>
      </c>
      <c r="D294">
        <v>1723</v>
      </c>
      <c r="E294">
        <v>81</v>
      </c>
      <c r="F294">
        <v>4.5999999999999996</v>
      </c>
      <c r="G294">
        <v>0</v>
      </c>
      <c r="H294">
        <v>0</v>
      </c>
      <c r="I294">
        <v>0</v>
      </c>
      <c r="J294">
        <v>0</v>
      </c>
      <c r="K294">
        <v>1</v>
      </c>
      <c r="L294">
        <v>0</v>
      </c>
      <c r="M294" s="3">
        <f xml:space="preserve">
58353.13397
+ 1.209015414*(C294)
+ 34.01462932*(D294)
+ 3047.928974*(E294)
+ 13439.3628*(F294)
- 12401.60265*(G294)
+ 1618.412705*(H294)
- 18491.87448*(I294)
+ 29382.28461*(J294)
+ 18098.25052*(K294)
+ 42659.1453*(L294)</f>
        <v>476886.84941944788</v>
      </c>
      <c r="N294">
        <f>B294-M294</f>
        <v>10851.410580552125</v>
      </c>
    </row>
    <row r="295" spans="1:14">
      <c r="A295" t="s">
        <v>95</v>
      </c>
      <c r="B295">
        <v>533121.26</v>
      </c>
      <c r="C295">
        <v>40102.879999999997</v>
      </c>
      <c r="D295">
        <v>2358</v>
      </c>
      <c r="E295">
        <v>88.7</v>
      </c>
      <c r="F295">
        <v>4.2</v>
      </c>
      <c r="G295">
        <v>0</v>
      </c>
      <c r="H295">
        <v>0</v>
      </c>
      <c r="I295">
        <v>0</v>
      </c>
      <c r="J295">
        <v>0</v>
      </c>
      <c r="K295">
        <v>1</v>
      </c>
      <c r="L295">
        <v>0</v>
      </c>
      <c r="M295" s="3">
        <f xml:space="preserve">
58353.13397
+ 1.209015414*(C295)
+ 34.01462932*(D295)
+ 3047.928974*(E295)
+ 13439.3628*(F295)
- 12401.60265*(G295)
+ 1618.412705*(H295)
- 18491.87448*(I295)
+ 29382.28461*(J295)
+ 18098.25052*(K295)
+ 42659.1453*(L295)</f>
        <v>531939.50424615224</v>
      </c>
      <c r="N295">
        <f>B295-M295</f>
        <v>1181.7557538477704</v>
      </c>
    </row>
    <row r="296" spans="1:14">
      <c r="A296" t="s">
        <v>95</v>
      </c>
      <c r="B296">
        <v>498970.32</v>
      </c>
      <c r="C296">
        <v>59825.51</v>
      </c>
      <c r="D296">
        <v>1231</v>
      </c>
      <c r="E296">
        <v>84.8</v>
      </c>
      <c r="F296">
        <v>4.7</v>
      </c>
      <c r="G296">
        <v>0</v>
      </c>
      <c r="H296">
        <v>0</v>
      </c>
      <c r="I296">
        <v>0</v>
      </c>
      <c r="J296">
        <v>0</v>
      </c>
      <c r="K296">
        <v>1</v>
      </c>
      <c r="L296">
        <v>0</v>
      </c>
      <c r="M296" s="3">
        <f xml:space="preserve">
58353.13397
+ 1.209015414*(C296)
+ 34.01462932*(D296)
+ 3047.928974*(E296)
+ 13439.3628*(F296)
- 12401.60265*(G296)
+ 1618.412705*(H296)
- 18491.87448*(I296)
+ 29382.28461*(J296)
+ 18098.25052*(K296)
+ 42659.1453*(L296)</f>
        <v>512282.7390785311</v>
      </c>
      <c r="N296">
        <f>B296-M296</f>
        <v>-13312.419078531093</v>
      </c>
    </row>
    <row r="297" spans="1:14">
      <c r="A297" t="s">
        <v>95</v>
      </c>
      <c r="B297">
        <v>546223.69999999995</v>
      </c>
      <c r="C297">
        <v>51996.32</v>
      </c>
      <c r="D297">
        <v>3834</v>
      </c>
      <c r="E297">
        <v>86.7</v>
      </c>
      <c r="F297">
        <v>4.5</v>
      </c>
      <c r="G297">
        <v>0</v>
      </c>
      <c r="H297">
        <v>0</v>
      </c>
      <c r="I297">
        <v>0</v>
      </c>
      <c r="J297">
        <v>0</v>
      </c>
      <c r="K297">
        <v>1</v>
      </c>
      <c r="L297">
        <v>0</v>
      </c>
      <c r="M297" s="3">
        <f xml:space="preserve">
58353.13397
+ 1.209015414*(C297)
+ 34.01462932*(D297)
+ 3047.928974*(E297)
+ 13439.3628*(F297)
- 12401.60265*(G297)
+ 1618.412705*(H297)
- 18491.87448*(I297)
+ 29382.28461*(J297)
+ 18098.25052*(K297)
+ 42659.1453*(L297)</f>
        <v>594460.40029995644</v>
      </c>
      <c r="N297">
        <f>B297-M297</f>
        <v>-48236.700299956487</v>
      </c>
    </row>
    <row r="298" spans="1:14">
      <c r="A298" t="s">
        <v>96</v>
      </c>
      <c r="B298">
        <v>763162.45</v>
      </c>
      <c r="C298">
        <v>55477.61</v>
      </c>
      <c r="D298">
        <v>5903</v>
      </c>
      <c r="E298">
        <v>96.2</v>
      </c>
      <c r="F298">
        <v>3.3</v>
      </c>
      <c r="G298">
        <v>0</v>
      </c>
      <c r="H298">
        <v>0</v>
      </c>
      <c r="I298">
        <v>0</v>
      </c>
      <c r="J298">
        <v>0</v>
      </c>
      <c r="K298">
        <v>1</v>
      </c>
      <c r="L298">
        <v>0</v>
      </c>
      <c r="M298" s="3">
        <f xml:space="preserve">
58353.13397
+ 1.209015414*(C298)
+ 34.01462932*(D298)
+ 3047.928974*(E298)
+ 13439.3628*(F298)
- 12401.60265*(G298)
+ 1618.412705*(H298)
- 18491.87448*(I298)
+ 29382.28461*(J298)
+ 18098.25052*(K298)
+ 42659.1453*(L298)</f>
        <v>681873.69152664056</v>
      </c>
      <c r="N298">
        <f>B298-M298</f>
        <v>81288.758473359398</v>
      </c>
    </row>
    <row r="299" spans="1:14">
      <c r="A299" t="s">
        <v>96</v>
      </c>
      <c r="B299">
        <v>668459.37</v>
      </c>
      <c r="C299">
        <v>55599.56</v>
      </c>
      <c r="D299">
        <v>5896</v>
      </c>
      <c r="E299">
        <v>93.1</v>
      </c>
      <c r="F299">
        <v>3.3</v>
      </c>
      <c r="G299">
        <v>0</v>
      </c>
      <c r="H299">
        <v>0</v>
      </c>
      <c r="I299">
        <v>0</v>
      </c>
      <c r="J299">
        <v>0</v>
      </c>
      <c r="K299">
        <v>1</v>
      </c>
      <c r="L299">
        <v>0</v>
      </c>
      <c r="M299" s="3">
        <f xml:space="preserve">
58353.13397
+ 1.209015414*(C299)
+ 34.01462932*(D299)
+ 3047.928974*(E299)
+ 13439.3628*(F299)
- 12401.60265*(G299)
+ 1618.412705*(H299)
- 18491.87448*(I299)
+ 29382.28461*(J299)
+ 18098.25052*(K299)
+ 42659.1453*(L299)</f>
        <v>672334.44873173779</v>
      </c>
      <c r="N299">
        <f>B299-M299</f>
        <v>-3875.0787317377981</v>
      </c>
    </row>
    <row r="300" spans="1:14">
      <c r="A300" t="s">
        <v>96</v>
      </c>
      <c r="B300">
        <v>599017.32999999996</v>
      </c>
      <c r="C300">
        <v>46174.7</v>
      </c>
      <c r="D300">
        <v>4898</v>
      </c>
      <c r="E300">
        <v>91.7</v>
      </c>
      <c r="F300">
        <v>3.1</v>
      </c>
      <c r="G300">
        <v>0</v>
      </c>
      <c r="H300">
        <v>0</v>
      </c>
      <c r="I300">
        <v>0</v>
      </c>
      <c r="J300">
        <v>0</v>
      </c>
      <c r="K300">
        <v>1</v>
      </c>
      <c r="L300">
        <v>0</v>
      </c>
      <c r="M300" s="3">
        <f xml:space="preserve">
58353.13397
+ 1.209015414*(C300)
+ 34.01462932*(D300)
+ 3047.928974*(E300)
+ 13439.3628*(F300)
- 12401.60265*(G300)
+ 1618.412705*(H300)
- 18491.87448*(I300)
+ 29382.28461*(J300)
+ 18098.25052*(K300)
+ 42659.1453*(L300)</f>
        <v>620038.0745319858</v>
      </c>
      <c r="N300">
        <f>B300-M300</f>
        <v>-21020.744531985838</v>
      </c>
    </row>
    <row r="301" spans="1:14">
      <c r="A301" t="s">
        <v>96</v>
      </c>
      <c r="B301">
        <v>401582.58</v>
      </c>
      <c r="C301">
        <v>24362.98</v>
      </c>
      <c r="D301">
        <v>1462</v>
      </c>
      <c r="E301">
        <v>89.3</v>
      </c>
      <c r="F301">
        <v>3.2</v>
      </c>
      <c r="G301">
        <v>0</v>
      </c>
      <c r="H301">
        <v>0</v>
      </c>
      <c r="I301">
        <v>0</v>
      </c>
      <c r="J301">
        <v>0</v>
      </c>
      <c r="K301">
        <v>1</v>
      </c>
      <c r="L301">
        <v>0</v>
      </c>
      <c r="M301" s="3">
        <f xml:space="preserve">
58353.13397
+ 1.209015414*(C301)
+ 34.01462932*(D301)
+ 3047.928974*(E301)
+ 13439.3628*(F301)
- 12401.60265*(G301)
+ 1618.412705*(H301)
- 18491.87448*(I301)
+ 29382.28461*(J301)
+ 18098.25052*(K301)
+ 42659.1453*(L301)</f>
        <v>470822.0092450137</v>
      </c>
      <c r="N301">
        <f>B301-M301</f>
        <v>-69239.429245013685</v>
      </c>
    </row>
    <row r="302" spans="1:14">
      <c r="A302" t="s">
        <v>97</v>
      </c>
      <c r="B302">
        <v>780580.95</v>
      </c>
      <c r="C302">
        <v>31997.25</v>
      </c>
      <c r="D302">
        <v>8183</v>
      </c>
      <c r="E302">
        <v>93</v>
      </c>
      <c r="F302">
        <v>4.2</v>
      </c>
      <c r="G302">
        <v>1</v>
      </c>
      <c r="H302">
        <v>0</v>
      </c>
      <c r="I302">
        <v>0</v>
      </c>
      <c r="J302">
        <v>1</v>
      </c>
      <c r="K302">
        <v>0</v>
      </c>
      <c r="L302">
        <v>0</v>
      </c>
      <c r="M302" s="3">
        <f xml:space="preserve">
58353.13397
+ 1.209015414*(C302)
+ 34.01462932*(D302)
+ 3047.928974*(E302)
+ 13439.3628*(F302)
- 12401.60265*(G302)
+ 1618.412705*(H302)
- 18491.87448*(I302)
+ 29382.28461*(J302)
+ 18098.25052*(K302)
+ 42659.1453*(L302)</f>
        <v>732263.41445317143</v>
      </c>
      <c r="N302">
        <f>B302-M302</f>
        <v>48317.535546828527</v>
      </c>
    </row>
    <row r="303" spans="1:14">
      <c r="A303" t="s">
        <v>97</v>
      </c>
      <c r="B303">
        <v>724346.73</v>
      </c>
      <c r="C303">
        <v>63986.98</v>
      </c>
      <c r="D303">
        <v>7989</v>
      </c>
      <c r="E303">
        <v>83.3</v>
      </c>
      <c r="F303">
        <v>3.7</v>
      </c>
      <c r="G303">
        <v>1</v>
      </c>
      <c r="H303">
        <v>0</v>
      </c>
      <c r="I303">
        <v>0</v>
      </c>
      <c r="J303">
        <v>1</v>
      </c>
      <c r="K303">
        <v>0</v>
      </c>
      <c r="L303">
        <v>0</v>
      </c>
      <c r="M303" s="3">
        <f xml:space="preserve">
58353.13397
+ 1.209015414*(C303)
+ 34.01462932*(D303)
+ 3047.928974*(E303)
+ 13439.3628*(F303)
- 12401.60265*(G303)
+ 1618.412705*(H303)
- 18491.87448*(I303)
+ 29382.28461*(J303)
+ 18098.25052*(K303)
+ 42659.1453*(L303)</f>
        <v>728056.06057698966</v>
      </c>
      <c r="N303">
        <f>B303-M303</f>
        <v>-3709.3305769896833</v>
      </c>
    </row>
    <row r="304" spans="1:14">
      <c r="A304" t="s">
        <v>97</v>
      </c>
      <c r="B304">
        <v>730890.01</v>
      </c>
      <c r="C304">
        <v>52843.75</v>
      </c>
      <c r="D304">
        <v>8268</v>
      </c>
      <c r="E304">
        <v>87.3</v>
      </c>
      <c r="F304">
        <v>4.7</v>
      </c>
      <c r="G304">
        <v>1</v>
      </c>
      <c r="H304">
        <v>0</v>
      </c>
      <c r="I304">
        <v>0</v>
      </c>
      <c r="J304">
        <v>1</v>
      </c>
      <c r="K304">
        <v>0</v>
      </c>
      <c r="L304">
        <v>0</v>
      </c>
      <c r="M304" s="3">
        <f xml:space="preserve">
58353.13397
+ 1.209015414*(C304)
+ 34.01462932*(D304)
+ 3047.928974*(E304)
+ 13439.3628*(F304)
- 12401.60265*(G304)
+ 1618.412705*(H304)
- 18491.87448*(I304)
+ 29382.28461*(J304)
+ 18098.25052*(K304)
+ 42659.1453*(L304)</f>
        <v>749704.88402152259</v>
      </c>
      <c r="N304">
        <f>B304-M304</f>
        <v>-18814.874021522584</v>
      </c>
    </row>
    <row r="305" spans="1:14">
      <c r="A305" t="s">
        <v>97</v>
      </c>
      <c r="B305">
        <v>703812.99</v>
      </c>
      <c r="C305">
        <v>40647.67</v>
      </c>
      <c r="D305">
        <v>8252</v>
      </c>
      <c r="E305">
        <v>88.2</v>
      </c>
      <c r="F305">
        <v>4.0999999999999996</v>
      </c>
      <c r="G305">
        <v>1</v>
      </c>
      <c r="H305">
        <v>0</v>
      </c>
      <c r="I305">
        <v>0</v>
      </c>
      <c r="J305">
        <v>1</v>
      </c>
      <c r="K305">
        <v>0</v>
      </c>
      <c r="L305">
        <v>0</v>
      </c>
      <c r="M305" s="3">
        <f xml:space="preserve">
58353.13397
+ 1.209015414*(C305)
+ 34.01462932*(D305)
+ 3047.928974*(E305)
+ 13439.3628*(F305)
- 12401.60265*(G305)
+ 1618.412705*(H305)
- 18491.87448*(I305)
+ 29382.28461*(J305)
+ 18098.25052*(K305)
+ 42659.1453*(L305)</f>
        <v>729094.91963862535</v>
      </c>
      <c r="N305">
        <f>B305-M305</f>
        <v>-25281.929638625355</v>
      </c>
    </row>
    <row r="306" spans="1:14">
      <c r="A306" t="s">
        <v>98</v>
      </c>
      <c r="B306">
        <v>665342.49</v>
      </c>
      <c r="C306">
        <v>22387.26</v>
      </c>
      <c r="D306">
        <v>6301</v>
      </c>
      <c r="E306">
        <v>85.9</v>
      </c>
      <c r="F306">
        <v>3.7</v>
      </c>
      <c r="G306">
        <v>0</v>
      </c>
      <c r="H306">
        <v>1</v>
      </c>
      <c r="I306">
        <v>0</v>
      </c>
      <c r="J306">
        <v>0</v>
      </c>
      <c r="K306">
        <v>0</v>
      </c>
      <c r="L306">
        <v>0</v>
      </c>
      <c r="M306" s="3">
        <f xml:space="preserve">
58353.13397
+ 1.209015414*(C306)
+ 34.01462932*(D306)
+ 3047.928974*(E306)
+ 13439.3628*(F306)
- 12401.60265*(G306)
+ 1618.412705*(H306)
- 18491.87448*(I306)
+ 29382.28461*(J306)
+ 18098.25052*(K306)
+ 42659.1453*(L306)</f>
        <v>612907.00966414565</v>
      </c>
      <c r="N306">
        <f>B306-M306</f>
        <v>52435.480335854343</v>
      </c>
    </row>
    <row r="307" spans="1:14">
      <c r="A307" t="s">
        <v>98</v>
      </c>
      <c r="B307">
        <v>727957.48</v>
      </c>
      <c r="C307">
        <v>54948.02</v>
      </c>
      <c r="D307">
        <v>6534</v>
      </c>
      <c r="E307">
        <v>94.5</v>
      </c>
      <c r="F307">
        <v>4</v>
      </c>
      <c r="G307">
        <v>0</v>
      </c>
      <c r="H307">
        <v>1</v>
      </c>
      <c r="I307">
        <v>0</v>
      </c>
      <c r="J307">
        <v>0</v>
      </c>
      <c r="K307">
        <v>0</v>
      </c>
      <c r="L307">
        <v>0</v>
      </c>
      <c r="M307" s="3">
        <f xml:space="preserve">
58353.13397
+ 1.209015414*(C307)
+ 34.01462932*(D307)
+ 3047.928974*(E307)
+ 13439.3628*(F307)
- 12401.60265*(G307)
+ 1618.412705*(H307)
- 18491.87448*(I307)
+ 29382.28461*(J307)
+ 18098.25052*(K307)
+ 42659.1453*(L307)</f>
        <v>690442.87704366026</v>
      </c>
      <c r="N307">
        <f>B307-M307</f>
        <v>37514.602956339717</v>
      </c>
    </row>
    <row r="308" spans="1:14">
      <c r="A308" t="s">
        <v>98</v>
      </c>
      <c r="B308">
        <v>651164.18000000005</v>
      </c>
      <c r="C308">
        <v>60684.05</v>
      </c>
      <c r="D308">
        <v>6399</v>
      </c>
      <c r="E308">
        <v>99</v>
      </c>
      <c r="F308">
        <v>3.5</v>
      </c>
      <c r="G308">
        <v>0</v>
      </c>
      <c r="H308">
        <v>1</v>
      </c>
      <c r="I308">
        <v>0</v>
      </c>
      <c r="J308">
        <v>0</v>
      </c>
      <c r="K308">
        <v>0</v>
      </c>
      <c r="L308">
        <v>0</v>
      </c>
      <c r="M308" s="3">
        <f xml:space="preserve">
58353.13397
+ 1.209015414*(C308)
+ 34.01462932*(D308)
+ 3047.928974*(E308)
+ 13439.3628*(F308)
- 12401.60265*(G308)
+ 1618.412705*(H308)
- 18491.87448*(I308)
+ 29382.28461*(J308)
+ 18098.25052*(K308)
+ 42659.1453*(L308)</f>
        <v>699781.84975362674</v>
      </c>
      <c r="N308">
        <f>B308-M308</f>
        <v>-48617.669753626687</v>
      </c>
    </row>
    <row r="309" spans="1:14">
      <c r="A309" t="s">
        <v>98</v>
      </c>
      <c r="B309">
        <v>538376</v>
      </c>
      <c r="C309">
        <v>46146.239999999998</v>
      </c>
      <c r="D309">
        <v>5804</v>
      </c>
      <c r="E309">
        <v>86.9</v>
      </c>
      <c r="F309">
        <v>3.8</v>
      </c>
      <c r="G309">
        <v>0</v>
      </c>
      <c r="H309">
        <v>1</v>
      </c>
      <c r="I309">
        <v>0</v>
      </c>
      <c r="J309">
        <v>0</v>
      </c>
      <c r="K309">
        <v>0</v>
      </c>
      <c r="L309">
        <v>0</v>
      </c>
      <c r="M309" s="3">
        <f xml:space="preserve">
58353.13397
+ 1.209015414*(C309)
+ 34.01462932*(D309)
+ 3047.928974*(E309)
+ 13439.3628*(F309)
- 12401.60265*(G309)
+ 1618.412705*(H309)
- 18491.87448*(I309)
+ 29382.28461*(J309)
+ 18098.25052*(K309)
+ 42659.1453*(L309)</f>
        <v>629118.57718702336</v>
      </c>
      <c r="N309">
        <f>B309-M309</f>
        <v>-90742.577187023358</v>
      </c>
    </row>
    <row r="310" spans="1:14">
      <c r="A310" t="s">
        <v>99</v>
      </c>
      <c r="B310">
        <v>771129.07</v>
      </c>
      <c r="C310">
        <v>86026.58</v>
      </c>
      <c r="D310">
        <v>7479</v>
      </c>
      <c r="E310">
        <v>89</v>
      </c>
      <c r="F310">
        <v>3.9246794871794881</v>
      </c>
      <c r="G310">
        <v>0</v>
      </c>
      <c r="H310">
        <v>1</v>
      </c>
      <c r="I310">
        <v>0</v>
      </c>
      <c r="J310">
        <v>0</v>
      </c>
      <c r="K310">
        <v>1</v>
      </c>
      <c r="L310">
        <v>0</v>
      </c>
      <c r="M310" s="3">
        <f xml:space="preserve">
58353.13397
+ 1.209015414*(C310)
+ 34.01462932*(D310)
+ 3047.928974*(E310)
+ 13439.3628*(F310)
- 12401.60265*(G310)
+ 1618.412705*(H310)
- 18491.87448*(I310)
+ 29382.28461*(J310)
+ 18098.25052*(K310)
+ 42659.1453*(L310)</f>
        <v>760483.54130090727</v>
      </c>
      <c r="N310">
        <f>B310-M310</f>
        <v>10645.528699092683</v>
      </c>
    </row>
    <row r="311" spans="1:14">
      <c r="A311" t="s">
        <v>99</v>
      </c>
      <c r="B311">
        <v>628538.30000000005</v>
      </c>
      <c r="C311">
        <v>48465.599999999999</v>
      </c>
      <c r="D311">
        <v>5759</v>
      </c>
      <c r="E311">
        <v>87.5</v>
      </c>
      <c r="F311">
        <v>4</v>
      </c>
      <c r="G311">
        <v>0</v>
      </c>
      <c r="H311">
        <v>1</v>
      </c>
      <c r="I311">
        <v>0</v>
      </c>
      <c r="J311">
        <v>0</v>
      </c>
      <c r="K311">
        <v>1</v>
      </c>
      <c r="L311">
        <v>0</v>
      </c>
      <c r="M311" s="3">
        <f xml:space="preserve">
58353.13397
+ 1.209015414*(C311)
+ 34.01462932*(D311)
+ 3047.928974*(E311)
+ 13439.3628*(F311)
- 12401.60265*(G311)
+ 1618.412705*(H311)
- 18491.87448*(I311)
+ 29382.28461*(J311)
+ 18098.25052*(K311)
+ 42659.1453*(L311)</f>
        <v>653006.94132263842</v>
      </c>
      <c r="N311">
        <f>B311-M311</f>
        <v>-24468.641322638374</v>
      </c>
    </row>
    <row r="312" spans="1:14">
      <c r="A312" t="s">
        <v>99</v>
      </c>
      <c r="B312">
        <v>621677.30000000005</v>
      </c>
      <c r="C312">
        <v>54322.94</v>
      </c>
      <c r="D312">
        <v>5434</v>
      </c>
      <c r="E312">
        <v>85.7</v>
      </c>
      <c r="F312">
        <v>4.2</v>
      </c>
      <c r="G312">
        <v>0</v>
      </c>
      <c r="H312">
        <v>1</v>
      </c>
      <c r="I312">
        <v>0</v>
      </c>
      <c r="J312">
        <v>0</v>
      </c>
      <c r="K312">
        <v>1</v>
      </c>
      <c r="L312">
        <v>0</v>
      </c>
      <c r="M312" s="3">
        <f xml:space="preserve">
58353.13397
+ 1.209015414*(C312)
+ 34.01462932*(D312)
+ 3047.928974*(E312)
+ 13439.3628*(F312)
- 12401.60265*(G312)
+ 1618.412705*(H312)
- 18491.87448*(I312)
+ 29382.28461*(J312)
+ 18098.25052*(K312)
+ 42659.1453*(L312)</f>
        <v>646235.40154547722</v>
      </c>
      <c r="N312">
        <f>B312-M312</f>
        <v>-24558.10154547717</v>
      </c>
    </row>
    <row r="313" spans="1:14">
      <c r="A313" t="s">
        <v>99</v>
      </c>
      <c r="B313">
        <v>536524.84</v>
      </c>
      <c r="C313">
        <v>23702.38</v>
      </c>
      <c r="D313">
        <v>5285</v>
      </c>
      <c r="E313">
        <v>79.7</v>
      </c>
      <c r="F313">
        <v>4.3</v>
      </c>
      <c r="G313">
        <v>0</v>
      </c>
      <c r="H313">
        <v>1</v>
      </c>
      <c r="I313">
        <v>0</v>
      </c>
      <c r="J313">
        <v>0</v>
      </c>
      <c r="K313">
        <v>1</v>
      </c>
      <c r="L313">
        <v>0</v>
      </c>
      <c r="M313" s="3">
        <f xml:space="preserve">
58353.13397
+ 1.209015414*(C313)
+ 34.01462932*(D313)
+ 3047.928974*(E313)
+ 13439.3628*(F313)
- 12401.60265*(G313)
+ 1618.412705*(H313)
- 18491.87448*(I313)
+ 29382.28461*(J313)
+ 18098.25052*(K313)
+ 42659.1453*(L313)</f>
        <v>587202.85518748534</v>
      </c>
      <c r="N313">
        <f>B313-M313</f>
        <v>-50678.015187485376</v>
      </c>
    </row>
    <row r="314" spans="1:14">
      <c r="A314" t="s">
        <v>100</v>
      </c>
      <c r="B314">
        <v>702052.47</v>
      </c>
      <c r="C314">
        <v>78967.520000000004</v>
      </c>
      <c r="D314">
        <v>6164</v>
      </c>
      <c r="E314">
        <v>85.5</v>
      </c>
      <c r="F314">
        <v>3.4</v>
      </c>
      <c r="G314">
        <v>1</v>
      </c>
      <c r="H314">
        <v>0</v>
      </c>
      <c r="I314">
        <v>0</v>
      </c>
      <c r="J314">
        <v>0</v>
      </c>
      <c r="K314">
        <v>0</v>
      </c>
      <c r="L314">
        <v>0</v>
      </c>
      <c r="M314" s="3">
        <f xml:space="preserve">
58353.13397
+ 1.209015414*(C314)
+ 34.01462932*(D314)
+ 3047.928974*(E314)
+ 13439.3628*(F314)
- 12401.60265*(G314)
+ 1618.412705*(H314)
- 18491.87448*(I314)
+ 29382.28461*(J314)
+ 18098.25052*(K314)
+ 42659.1453*(L314)</f>
        <v>657382.41613083321</v>
      </c>
      <c r="N314">
        <f>B314-M314</f>
        <v>44670.053869166761</v>
      </c>
    </row>
    <row r="315" spans="1:14">
      <c r="A315" t="s">
        <v>100</v>
      </c>
      <c r="B315">
        <v>712375.77</v>
      </c>
      <c r="C315">
        <v>62507.16</v>
      </c>
      <c r="D315">
        <v>6000</v>
      </c>
      <c r="E315">
        <v>98.2</v>
      </c>
      <c r="F315">
        <v>3.9</v>
      </c>
      <c r="G315">
        <v>1</v>
      </c>
      <c r="H315">
        <v>0</v>
      </c>
      <c r="I315">
        <v>0</v>
      </c>
      <c r="J315">
        <v>0</v>
      </c>
      <c r="K315">
        <v>0</v>
      </c>
      <c r="L315">
        <v>0</v>
      </c>
      <c r="M315" s="3">
        <f xml:space="preserve">
58353.13397
+ 1.209015414*(C315)
+ 34.01462932*(D315)
+ 3047.928974*(E315)
+ 13439.3628*(F315)
- 12401.60265*(G315)
+ 1618.412705*(H315)
- 18491.87448*(I315)
+ 29382.28461*(J315)
+ 18098.25052*(K315)
+ 42659.1453*(L315)</f>
        <v>677331.56733216415</v>
      </c>
      <c r="N315">
        <f>B315-M315</f>
        <v>35044.202667835867</v>
      </c>
    </row>
    <row r="316" spans="1:14">
      <c r="A316" t="s">
        <v>100</v>
      </c>
      <c r="B316">
        <v>844710.67</v>
      </c>
      <c r="C316">
        <v>66456.28</v>
      </c>
      <c r="D316">
        <v>9967</v>
      </c>
      <c r="E316">
        <v>94.7</v>
      </c>
      <c r="F316">
        <v>4.2</v>
      </c>
      <c r="G316">
        <v>1</v>
      </c>
      <c r="H316">
        <v>0</v>
      </c>
      <c r="I316">
        <v>0</v>
      </c>
      <c r="J316">
        <v>0</v>
      </c>
      <c r="K316">
        <v>0</v>
      </c>
      <c r="L316">
        <v>0</v>
      </c>
      <c r="M316" s="3">
        <f xml:space="preserve">
58353.13397
+ 1.209015414*(C316)
+ 34.01462932*(D316)
+ 3047.928974*(E316)
+ 13439.3628*(F316)
- 12401.60265*(G316)
+ 1618.412705*(H316)
- 18491.87448*(I316)
+ 29382.28461*(J316)
+ 18098.25052*(K316)
+ 42659.1453*(L316)</f>
        <v>810406.20622733992</v>
      </c>
      <c r="N316">
        <f>B316-M316</f>
        <v>34304.463772660121</v>
      </c>
    </row>
    <row r="317" spans="1:14">
      <c r="A317" t="s">
        <v>100</v>
      </c>
      <c r="B317">
        <v>688368.46</v>
      </c>
      <c r="C317">
        <v>46767.99</v>
      </c>
      <c r="D317">
        <v>7973</v>
      </c>
      <c r="E317">
        <v>94.8</v>
      </c>
      <c r="F317">
        <v>3.9246794871794881</v>
      </c>
      <c r="G317">
        <v>1</v>
      </c>
      <c r="H317">
        <v>0</v>
      </c>
      <c r="I317">
        <v>0</v>
      </c>
      <c r="J317">
        <v>0</v>
      </c>
      <c r="K317">
        <v>0</v>
      </c>
      <c r="L317">
        <v>0</v>
      </c>
      <c r="M317" s="3">
        <f xml:space="preserve">
58353.13397
+ 1.209015414*(C317)
+ 34.01462932*(D317)
+ 3047.928974*(E317)
+ 13439.3628*(F317)
- 12401.60265*(G317)
+ 1618.412705*(H317)
- 18491.87448*(I317)
+ 29382.28461*(J317)
+ 18098.25052*(K317)
+ 42659.1453*(L317)</f>
        <v>715382.24991728098</v>
      </c>
      <c r="N317">
        <f>B317-M317</f>
        <v>-27013.789917281014</v>
      </c>
    </row>
    <row r="318" spans="1:14">
      <c r="A318" t="s">
        <v>101</v>
      </c>
      <c r="B318">
        <v>536845.42000000004</v>
      </c>
      <c r="C318">
        <v>24088.06</v>
      </c>
      <c r="D318">
        <v>3466</v>
      </c>
      <c r="E318">
        <v>88</v>
      </c>
      <c r="F318">
        <v>3.8</v>
      </c>
      <c r="G318">
        <v>0</v>
      </c>
      <c r="H318">
        <v>0</v>
      </c>
      <c r="I318">
        <v>1</v>
      </c>
      <c r="J318">
        <v>0</v>
      </c>
      <c r="K318">
        <v>0</v>
      </c>
      <c r="L318">
        <v>0</v>
      </c>
      <c r="M318" s="3">
        <f xml:space="preserve">
58353.13397
+ 1.209015414*(C318)
+ 34.01462932*(D318)
+ 3047.928974*(E318)
+ 13439.3628*(F318)
- 12401.60265*(G318)
+ 1618.412705*(H318)
- 18491.87448*(I318)
+ 29382.28461*(J318)
+ 18098.25052*(K318)
+ 42659.1453*(L318)</f>
        <v>506166.12889847683</v>
      </c>
      <c r="N318">
        <f>B318-M318</f>
        <v>30679.291101523209</v>
      </c>
    </row>
    <row r="319" spans="1:14">
      <c r="A319" t="s">
        <v>101</v>
      </c>
      <c r="B319">
        <v>726776.22</v>
      </c>
      <c r="C319">
        <v>81902.58</v>
      </c>
      <c r="D319">
        <v>7775</v>
      </c>
      <c r="E319">
        <v>85.2</v>
      </c>
      <c r="F319">
        <v>4.2</v>
      </c>
      <c r="G319">
        <v>0</v>
      </c>
      <c r="H319">
        <v>0</v>
      </c>
      <c r="I319">
        <v>1</v>
      </c>
      <c r="J319">
        <v>0</v>
      </c>
      <c r="K319">
        <v>0</v>
      </c>
      <c r="L319">
        <v>0</v>
      </c>
      <c r="M319" s="3">
        <f xml:space="preserve">
58353.13397
+ 1.209015414*(C319)
+ 34.01462932*(D319)
+ 3047.928974*(E319)
+ 13439.3628*(F319)
- 12401.60265*(G319)
+ 1618.412705*(H319)
- 18491.87448*(I319)
+ 29382.28461*(J319)
+ 18098.25052*(K319)
+ 42659.1453*(L319)</f>
        <v>719475.35646416817</v>
      </c>
      <c r="N319">
        <f>B319-M319</f>
        <v>7300.8635358317988</v>
      </c>
    </row>
    <row r="320" spans="1:14">
      <c r="A320" t="s">
        <v>101</v>
      </c>
      <c r="B320">
        <v>559660.84</v>
      </c>
      <c r="C320">
        <v>40553.11</v>
      </c>
      <c r="D320">
        <v>5317</v>
      </c>
      <c r="E320">
        <v>84.3</v>
      </c>
      <c r="F320">
        <v>4.0999999999999996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0</v>
      </c>
      <c r="M320" s="3">
        <f xml:space="preserve">
58353.13397
+ 1.209015414*(C320)
+ 34.01462932*(D320)
+ 3047.928974*(E320)
+ 13439.3628*(F320)
- 12401.60265*(G320)
+ 1618.412705*(H320)
- 18491.87448*(I320)
+ 29382.28461*(J320)
+ 18098.25052*(K320)
+ 42659.1453*(L320)</f>
        <v>581788.17864827765</v>
      </c>
      <c r="N320">
        <f>B320-M320</f>
        <v>-22127.338648277684</v>
      </c>
    </row>
    <row r="321" spans="1:14">
      <c r="A321" t="s">
        <v>101</v>
      </c>
      <c r="B321">
        <v>620264.19999999995</v>
      </c>
      <c r="C321">
        <v>76614.320000000007</v>
      </c>
      <c r="D321">
        <v>5639</v>
      </c>
      <c r="E321">
        <v>92.9</v>
      </c>
      <c r="F321">
        <v>4</v>
      </c>
      <c r="G321">
        <v>0</v>
      </c>
      <c r="H321">
        <v>0</v>
      </c>
      <c r="I321">
        <v>1</v>
      </c>
      <c r="J321">
        <v>0</v>
      </c>
      <c r="K321">
        <v>0</v>
      </c>
      <c r="L321">
        <v>0</v>
      </c>
      <c r="M321" s="3">
        <f xml:space="preserve">
58353.13397
+ 1.209015414*(C321)
+ 34.01462932*(D321)
+ 3047.928974*(E321)
+ 13439.3628*(F321)
- 12401.60265*(G321)
+ 1618.412705*(H321)
- 18491.87448*(I321)
+ 29382.28461*(J321)
+ 18098.25052*(K321)
+ 42659.1453*(L321)</f>
        <v>661207.7009232085</v>
      </c>
      <c r="N321">
        <f>B321-M321</f>
        <v>-40943.500923208543</v>
      </c>
    </row>
  </sheetData>
  <sortState xmlns:xlrd2="http://schemas.microsoft.com/office/spreadsheetml/2017/richdata2" ref="A2:N321">
    <sortCondition ref="A1:A32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1F788-D3DB-4A61-8EBE-71E8016D4823}">
  <dimension ref="A1:G6"/>
  <sheetViews>
    <sheetView workbookViewId="0">
      <selection activeCell="I3" sqref="I3"/>
    </sheetView>
  </sheetViews>
  <sheetFormatPr defaultRowHeight="13.8"/>
  <cols>
    <col min="1" max="1" width="19.8984375" customWidth="1"/>
    <col min="2" max="3" width="17.59765625" customWidth="1"/>
    <col min="4" max="4" width="21" customWidth="1"/>
    <col min="5" max="5" width="20.59765625" customWidth="1"/>
    <col min="6" max="6" width="17.5" customWidth="1"/>
    <col min="7" max="7" width="14.5" customWidth="1"/>
  </cols>
  <sheetData>
    <row r="1" spans="1:7" ht="18">
      <c r="A1" s="23" t="s">
        <v>157</v>
      </c>
      <c r="B1" s="23"/>
      <c r="C1" s="23"/>
      <c r="D1" s="23"/>
      <c r="E1" s="23"/>
      <c r="F1" s="23"/>
      <c r="G1" s="23"/>
    </row>
    <row r="3" spans="1:7" ht="36">
      <c r="A3" s="12" t="s">
        <v>158</v>
      </c>
      <c r="B3" s="13" t="s">
        <v>159</v>
      </c>
      <c r="C3" s="13" t="s">
        <v>160</v>
      </c>
      <c r="D3" s="13" t="s">
        <v>161</v>
      </c>
      <c r="E3" s="13" t="s">
        <v>162</v>
      </c>
      <c r="F3" s="13" t="s">
        <v>163</v>
      </c>
      <c r="G3" s="14" t="s">
        <v>164</v>
      </c>
    </row>
    <row r="4" spans="1:7" ht="41.4">
      <c r="A4" s="15" t="s">
        <v>165</v>
      </c>
      <c r="B4" s="16" t="s">
        <v>166</v>
      </c>
      <c r="C4" s="16" t="s">
        <v>148</v>
      </c>
      <c r="D4" s="16">
        <v>0.16700000000000001</v>
      </c>
      <c r="E4" s="16" t="s">
        <v>148</v>
      </c>
      <c r="F4" s="16" t="s">
        <v>167</v>
      </c>
      <c r="G4" s="17" t="s">
        <v>168</v>
      </c>
    </row>
    <row r="5" spans="1:7" ht="27.6">
      <c r="A5" s="15" t="s">
        <v>169</v>
      </c>
      <c r="B5" s="16" t="s">
        <v>166</v>
      </c>
      <c r="C5" s="16" t="s">
        <v>170</v>
      </c>
      <c r="D5" s="18">
        <v>0.73628000000000005</v>
      </c>
      <c r="E5" s="16" t="s">
        <v>170</v>
      </c>
      <c r="F5" s="16" t="s">
        <v>171</v>
      </c>
      <c r="G5" s="17" t="s">
        <v>172</v>
      </c>
    </row>
    <row r="6" spans="1:7" ht="96.6">
      <c r="A6" s="19" t="s">
        <v>173</v>
      </c>
      <c r="B6" s="20" t="s">
        <v>166</v>
      </c>
      <c r="C6" s="20" t="s">
        <v>174</v>
      </c>
      <c r="D6" s="20">
        <v>0.83099999999999996</v>
      </c>
      <c r="E6" s="20" t="s">
        <v>175</v>
      </c>
      <c r="F6" s="20" t="s">
        <v>176</v>
      </c>
      <c r="G6" s="21" t="s">
        <v>177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tabSelected="1" workbookViewId="0">
      <selection activeCell="H13" sqref="H13"/>
    </sheetView>
  </sheetViews>
  <sheetFormatPr defaultRowHeight="13.8"/>
  <cols>
    <col min="1" max="2" width="28" customWidth="1"/>
  </cols>
  <sheetData>
    <row r="1" spans="1:2" ht="22.35" customHeight="1">
      <c r="A1" s="1" t="s">
        <v>102</v>
      </c>
      <c r="B1" s="1" t="s">
        <v>103</v>
      </c>
    </row>
    <row r="2" spans="1:2">
      <c r="A2" s="3" t="s">
        <v>0</v>
      </c>
      <c r="B2" s="3" t="s">
        <v>104</v>
      </c>
    </row>
    <row r="3" spans="1:2">
      <c r="A3" s="3" t="s">
        <v>1</v>
      </c>
      <c r="B3" s="3" t="s">
        <v>105</v>
      </c>
    </row>
    <row r="4" spans="1:2">
      <c r="A4" s="3" t="s">
        <v>2</v>
      </c>
      <c r="B4" s="3" t="s">
        <v>106</v>
      </c>
    </row>
    <row r="5" spans="1:2" ht="27.6">
      <c r="A5" s="3" t="s">
        <v>3</v>
      </c>
      <c r="B5" s="3" t="s">
        <v>107</v>
      </c>
    </row>
    <row r="6" spans="1:2" ht="27.6">
      <c r="A6" s="3" t="s">
        <v>4</v>
      </c>
      <c r="B6" s="3" t="s">
        <v>108</v>
      </c>
    </row>
    <row r="7" spans="1:2">
      <c r="A7" s="3" t="s">
        <v>5</v>
      </c>
      <c r="B7" s="3" t="s">
        <v>109</v>
      </c>
    </row>
    <row r="8" spans="1:2" ht="27.6">
      <c r="A8" s="3" t="s">
        <v>6</v>
      </c>
      <c r="B8" s="3" t="s">
        <v>110</v>
      </c>
    </row>
    <row r="9" spans="1:2">
      <c r="A9" s="3" t="s">
        <v>7</v>
      </c>
      <c r="B9" s="3" t="s">
        <v>111</v>
      </c>
    </row>
    <row r="10" spans="1:2" ht="27.6">
      <c r="A10" s="3" t="s">
        <v>8</v>
      </c>
      <c r="B10" s="3" t="s">
        <v>112</v>
      </c>
    </row>
    <row r="11" spans="1:2">
      <c r="A11" s="3" t="s">
        <v>9</v>
      </c>
      <c r="B11" s="3" t="s">
        <v>113</v>
      </c>
    </row>
    <row r="12" spans="1:2" ht="41.4">
      <c r="A12" s="3" t="s">
        <v>10</v>
      </c>
      <c r="B12" s="3" t="s">
        <v>114</v>
      </c>
    </row>
    <row r="13" spans="1:2">
      <c r="A13" s="3" t="s">
        <v>11</v>
      </c>
      <c r="B13" s="3" t="s">
        <v>115</v>
      </c>
    </row>
    <row r="14" spans="1:2" ht="27.6">
      <c r="A14" s="3" t="s">
        <v>12</v>
      </c>
      <c r="B14" s="3" t="s">
        <v>116</v>
      </c>
    </row>
    <row r="15" spans="1:2" ht="27.6">
      <c r="A15" s="3" t="s">
        <v>13</v>
      </c>
      <c r="B15" s="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Original Dataset</vt:lpstr>
      <vt:lpstr>Cleaned Data</vt:lpstr>
      <vt:lpstr>Dummy Variables</vt:lpstr>
      <vt:lpstr>Simple Regression</vt:lpstr>
      <vt:lpstr>Simple Regresssion_Footfall</vt:lpstr>
      <vt:lpstr>Multiple Regression</vt:lpstr>
      <vt:lpstr>Predictions Residuals</vt:lpstr>
      <vt:lpstr>Model Comparison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kumar das</cp:lastModifiedBy>
  <dcterms:modified xsi:type="dcterms:W3CDTF">2026-06-23T07:46:28Z</dcterms:modified>
</cp:coreProperties>
</file>