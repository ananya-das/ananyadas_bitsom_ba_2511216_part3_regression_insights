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a8007c647b4d44d/Documents/part3_regression_insights/analysis/"/>
    </mc:Choice>
  </mc:AlternateContent>
  <xr:revisionPtr revIDLastSave="248" documentId="11_79DE954A56C6DB34D0DF3229E31A59A73D67C35E" xr6:coauthVersionLast="47" xr6:coauthVersionMax="47" xr10:uidLastSave="{BFFEF3AB-70AF-4C14-9686-8B4B30C56A43}"/>
  <bookViews>
    <workbookView xWindow="-108" yWindow="-108" windowWidth="23256" windowHeight="12456" activeTab="4" xr2:uid="{00000000-000D-0000-FFFF-FFFF00000000}"/>
  </bookViews>
  <sheets>
    <sheet name="Original Dataset" sheetId="1" r:id="rId1"/>
    <sheet name="Cleaned Data" sheetId="3" r:id="rId2"/>
    <sheet name="Dummy Variables" sheetId="4" r:id="rId3"/>
    <sheet name="Simple Regression" sheetId="12" r:id="rId4"/>
    <sheet name="Simple Regresssion_Footfall" sheetId="13" r:id="rId5"/>
    <sheet name="Multiple Regression" sheetId="6" r:id="rId6"/>
    <sheet name="Predictions Residuals" sheetId="7" r:id="rId7"/>
    <sheet name="Model Comparison" sheetId="8" r:id="rId8"/>
    <sheet name="data_dictionary" sheetId="2" r:id="rId9"/>
  </sheets>
  <definedNames>
    <definedName name="_xlnm._FilterDatabase" localSheetId="1" hidden="1">'Cleaned Data'!$A$1:$N$321</definedName>
    <definedName name="_xlnm._FilterDatabase" localSheetId="2" hidden="1">'Dummy Variables'!$D$1:$D$321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4" l="1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2" i="4"/>
  <c r="T2" i="4"/>
  <c r="S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2" i="3"/>
  <c r="Z3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2" i="3"/>
  <c r="Z2" i="3"/>
</calcChain>
</file>

<file path=xl/sharedStrings.xml><?xml version="1.0" encoding="utf-8"?>
<sst xmlns="http://schemas.openxmlformats.org/spreadsheetml/2006/main" count="3020" uniqueCount="156">
  <si>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</si>
  <si>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</si>
  <si>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</si>
  <si>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</si>
  <si>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</si>
  <si>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</si>
  <si>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</si>
  <si>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</si>
  <si>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</si>
  <si>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</si>
  <si>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</si>
  <si>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</si>
  <si>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</si>
  <si>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</si>
  <si>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</si>
  <si>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</si>
  <si>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</si>
  <si>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</si>
  <si>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</si>
  <si>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</si>
  <si>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</si>
  <si>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</si>
  <si>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</si>
  <si>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</si>
  <si>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</si>
  <si>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</si>
  <si>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</si>
  <si>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</si>
  <si>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</si>
  <si>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</si>
  <si>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</si>
  <si>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</si>
  <si>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</si>
  <si>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</si>
  <si>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</si>
  <si>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</si>
  <si>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</si>
  <si>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</si>
  <si>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</si>
  <si>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</si>
  <si>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</si>
  <si>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</si>
  <si>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</si>
  <si>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</si>
  <si>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</si>
  <si>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</si>
  <si>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</si>
  <si>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</si>
  <si>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</si>
  <si>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</si>
  <si>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</si>
  <si>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</si>
  <si>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</si>
  <si>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</si>
  <si>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</si>
  <si>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</si>
  <si>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</si>
  <si>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</si>
  <si>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</si>
  <si>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</si>
  <si>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</si>
  <si>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</si>
  <si>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</si>
  <si>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</si>
  <si>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</si>
  <si>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</si>
  <si>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</si>
  <si>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</si>
  <si>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</si>
  <si>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</si>
  <si>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</si>
  <si>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</si>
  <si>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</si>
  <si>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</si>
  <si>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</si>
  <si>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</si>
  <si>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</si>
  <si>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</si>
  <si>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</si>
  <si>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</si>
  <si>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</si>
  <si>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</si>
  <si>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</si>
  <si>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</si>
  <si>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</si>
  <si>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</si>
  <si>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</si>
  <si>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</si>
  <si>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</si>
  <si>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</si>
  <si>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</si>
  <si>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</si>
  <si>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</si>
  <si>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</si>
  <si>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</si>
  <si>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</si>
  <si>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</si>
  <si>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</si>
  <si>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</si>
  <si>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</si>
  <si>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</si>
  <si>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</si>
  <si>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</si>
  <si>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</si>
  <si>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</si>
  <si>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</si>
  <si>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</si>
  <si>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</si>
  <si>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</si>
  <si>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</si>
  <si>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</si>
  <si>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</si>
  <si>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</si>
  <si>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</si>
  <si>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</si>
  <si>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</si>
  <si>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</si>
  <si>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</si>
  <si>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Region_North</t>
  </si>
  <si>
    <t>Region_South</t>
  </si>
  <si>
    <t>Region_East</t>
  </si>
  <si>
    <t>Store_Mall</t>
  </si>
  <si>
    <t>Store_HighStreet</t>
  </si>
  <si>
    <t>Store_Airport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</si>
  <si>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</si>
  <si>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</si>
  <si>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</si>
  <si>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</si>
  <si>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</si>
  <si>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</si>
  <si>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</si>
  <si>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</si>
  <si>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</si>
  <si>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</si>
  <si>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</si>
  <si>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</si>
  <si>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</si>
  <si>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</si>
  <si>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</si>
  <si>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</si>
  <si>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</si>
  <si>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</si>
  <si>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</si>
  <si>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</si>
  <si>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</si>
  <si>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</si>
  <si>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</si>
  <si>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SIMPLE REGRESSION SUMMARY #1: USING Marketing Spend</t>
  </si>
  <si>
    <t>Marketing Spend</t>
  </si>
  <si>
    <t>SUMMARY OUTPUT: SIMPLE REGRESSION FOOTFALL</t>
  </si>
  <si>
    <t>Regression Equation:</t>
  </si>
  <si>
    <t>Monthly Sales = 560777.345 + (2.13 × Marketing Spend)</t>
  </si>
  <si>
    <t>R-Squared</t>
  </si>
  <si>
    <t>Coefficient</t>
  </si>
  <si>
    <t>P-Value</t>
  </si>
  <si>
    <t>Monthly Sales = 446410.58 + (35.678 × Marketing Spend)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</si>
</sst>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5"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  <font>
      <i/>
      <sz val="11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0" borderId="3" xfId="0" applyBorder="1"/>
    <xf numFmtId="0" fontId="0" fillId="0" borderId="3" xfId="0" applyBorder="1" applyAlignment="1">
      <alignment wrapText="1"/>
    </xf>
    <xf numFmtId="0" fontId="4" fillId="3" borderId="0" xfId="0" applyFont="1" applyFill="1" applyAlignment="1">
      <alignment horizontal="center"/>
    </xf>
    <xf numFmtId="0" fontId="4" fillId="3" borderId="3" xfId="0" applyFont="1" applyFill="1" applyBorder="1"/>
    <xf numFmtId="0" fontId="0" fillId="0" borderId="3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activeCell="D1" sqref="D1"/>
    </sheetView>
  </sheetViews>
  <sheetFormatPr defaultRowHeight="13.8"/>
  <cols>
    <col min="1" max="14" width="16" customWidth="1"/>
  </cols>
  <sheetData>
    <row r="1" spans="1:14" ht="22.35" customHeight="1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2E68-988A-47D7-A823-284D4C56FFE4}">
  <dimension ref="A1:Z321"/>
  <sheetViews>
    <sheetView topLeftCell="F1" workbookViewId="0"/>
  </sheetViews>
  <sheetFormatPr defaultRowHeight="13.8"/>
  <cols>
    <col min="1" max="9" width="16" customWidth="1"/>
    <col min="10" max="10" width="23.5" customWidth="1"/>
    <col min="11" max="14" width="16" customWidth="1"/>
  </cols>
  <sheetData>
    <row r="1" spans="1:2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6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f>IF(ISBLANK('Original Dataset'!J2),$Z$2,'Original Dataset'!J2)</f>
        <v>5.28</v>
      </c>
      <c r="K2">
        <v>1</v>
      </c>
      <c r="L2">
        <f>IF(ISBLANK('Original Dataset'!L2),$Z$3,'Original Dataset'!L2)</f>
        <v>3.1</v>
      </c>
      <c r="M2">
        <v>658832.62</v>
      </c>
      <c r="N2">
        <v>84349.93</v>
      </c>
      <c r="Z2">
        <f>MEDIAN('Original Dataset'!J:J)</f>
        <v>3.3650000000000002</v>
      </c>
    </row>
    <row r="3" spans="1:26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f>IF(ISBLANK('Original Dataset'!J3),$Z$2,'Original Dataset'!J3)</f>
        <v>4.3099999999999996</v>
      </c>
      <c r="K3">
        <v>0</v>
      </c>
      <c r="L3">
        <f>IF(ISBLANK('Original Dataset'!L3),$Z$3,'Original Dataset'!L3)</f>
        <v>2.8</v>
      </c>
      <c r="M3">
        <v>634436</v>
      </c>
      <c r="N3">
        <v>106130.54</v>
      </c>
      <c r="Z3" s="4">
        <f>AVERAGE('Original Dataset'!L:L)</f>
        <v>3.9246794871794881</v>
      </c>
    </row>
    <row r="4" spans="1:26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f>IF(ISBLANK('Original Dataset'!J4),$Z$2,'Original Dataset'!J4)</f>
        <v>12</v>
      </c>
      <c r="K4">
        <v>0</v>
      </c>
      <c r="L4">
        <f>IF(ISBLANK('Original Dataset'!L4),$Z$3,'Original Dataset'!L4)</f>
        <v>3.2</v>
      </c>
      <c r="M4">
        <v>678722.06</v>
      </c>
      <c r="N4">
        <v>101883.86</v>
      </c>
    </row>
    <row r="5" spans="1:26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f>IF(ISBLANK('Original Dataset'!J5),$Z$2,'Original Dataset'!J5)</f>
        <v>4.97</v>
      </c>
      <c r="K5">
        <v>0</v>
      </c>
      <c r="L5">
        <f>IF(ISBLANK('Original Dataset'!L5),$Z$3,'Original Dataset'!L5)</f>
        <v>3.4</v>
      </c>
      <c r="M5">
        <v>658920.30000000005</v>
      </c>
      <c r="N5">
        <v>97910.37</v>
      </c>
    </row>
    <row r="6" spans="1:26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f>IF(ISBLANK('Original Dataset'!J6),$Z$2,'Original Dataset'!J6)</f>
        <v>6.94</v>
      </c>
      <c r="K6">
        <v>1</v>
      </c>
      <c r="L6">
        <f>IF(ISBLANK('Original Dataset'!L6),$Z$3,'Original Dataset'!L6)</f>
        <v>4.2</v>
      </c>
      <c r="M6">
        <v>741341.44</v>
      </c>
      <c r="N6">
        <v>119208.17</v>
      </c>
    </row>
    <row r="7" spans="1:26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f>IF(ISBLANK('Original Dataset'!J7),$Z$2,'Original Dataset'!J7)</f>
        <v>2.88</v>
      </c>
      <c r="K7">
        <v>0</v>
      </c>
      <c r="L7">
        <f>IF(ISBLANK('Original Dataset'!L7),$Z$3,'Original Dataset'!L7)</f>
        <v>4.2</v>
      </c>
      <c r="M7">
        <v>761835.34</v>
      </c>
      <c r="N7">
        <v>149602.23000000001</v>
      </c>
    </row>
    <row r="8" spans="1:26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f>IF(ISBLANK('Original Dataset'!J8),$Z$2,'Original Dataset'!J8)</f>
        <v>0.2</v>
      </c>
      <c r="K8">
        <v>1</v>
      </c>
      <c r="L8">
        <f>IF(ISBLANK('Original Dataset'!L8),$Z$3,'Original Dataset'!L8)</f>
        <v>4.0999999999999996</v>
      </c>
      <c r="M8">
        <v>806615.54</v>
      </c>
      <c r="N8">
        <v>131364.62</v>
      </c>
    </row>
    <row r="9" spans="1:26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f>IF(ISBLANK('Original Dataset'!J9),$Z$2,'Original Dataset'!J9)</f>
        <v>0.8</v>
      </c>
      <c r="K9">
        <v>0</v>
      </c>
      <c r="L9">
        <f>IF(ISBLANK('Original Dataset'!L9),$Z$3,'Original Dataset'!L9)</f>
        <v>3.9</v>
      </c>
      <c r="M9">
        <v>850164.26</v>
      </c>
      <c r="N9">
        <v>149262.75</v>
      </c>
    </row>
    <row r="10" spans="1:26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f>IF(ISBLANK('Original Dataset'!J10),$Z$2,'Original Dataset'!J10)</f>
        <v>7.7</v>
      </c>
      <c r="K10">
        <v>1</v>
      </c>
      <c r="L10">
        <f>IF(ISBLANK('Original Dataset'!L10),$Z$3,'Original Dataset'!L10)</f>
        <v>3.8</v>
      </c>
      <c r="M10">
        <v>930581.7</v>
      </c>
      <c r="N10">
        <v>136207.98000000001</v>
      </c>
    </row>
    <row r="11" spans="1:26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f>IF(ISBLANK('Original Dataset'!J11),$Z$2,'Original Dataset'!J11)</f>
        <v>1.91</v>
      </c>
      <c r="K11">
        <v>0</v>
      </c>
      <c r="L11">
        <f>IF(ISBLANK('Original Dataset'!L11),$Z$3,'Original Dataset'!L11)</f>
        <v>4.2</v>
      </c>
      <c r="M11">
        <v>779010.94</v>
      </c>
      <c r="N11">
        <v>106328.09</v>
      </c>
    </row>
    <row r="12" spans="1:26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f>IF(ISBLANK('Original Dataset'!J12),$Z$2,'Original Dataset'!J12)</f>
        <v>10.46</v>
      </c>
      <c r="K12">
        <v>1</v>
      </c>
      <c r="L12">
        <f>IF(ISBLANK('Original Dataset'!L12),$Z$3,'Original Dataset'!L12)</f>
        <v>3.8</v>
      </c>
      <c r="M12">
        <v>723060.76</v>
      </c>
      <c r="N12">
        <v>123131.24</v>
      </c>
    </row>
    <row r="13" spans="1:26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f>IF(ISBLANK('Original Dataset'!J13),$Z$2,'Original Dataset'!J13)</f>
        <v>7.16</v>
      </c>
      <c r="K13">
        <v>0</v>
      </c>
      <c r="L13">
        <f>IF(ISBLANK('Original Dataset'!L13),$Z$3,'Original Dataset'!L13)</f>
        <v>3.8</v>
      </c>
      <c r="M13">
        <v>910791.94</v>
      </c>
      <c r="N13">
        <v>158891.28</v>
      </c>
    </row>
    <row r="14" spans="1:26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f>IF(ISBLANK('Original Dataset'!J14),$Z$2,'Original Dataset'!J14)</f>
        <v>4.24</v>
      </c>
      <c r="K14">
        <v>1</v>
      </c>
      <c r="L14">
        <f>IF(ISBLANK('Original Dataset'!L14),$Z$3,'Original Dataset'!L14)</f>
        <v>4.2</v>
      </c>
      <c r="M14">
        <v>922168.6</v>
      </c>
      <c r="N14">
        <v>107494.53</v>
      </c>
    </row>
    <row r="15" spans="1:26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f>IF(ISBLANK('Original Dataset'!J15),$Z$2,'Original Dataset'!J15)</f>
        <v>1.06</v>
      </c>
      <c r="K15">
        <v>0</v>
      </c>
      <c r="L15">
        <f>IF(ISBLANK('Original Dataset'!L15),$Z$3,'Original Dataset'!L15)</f>
        <v>4.3</v>
      </c>
      <c r="M15">
        <v>726606.28</v>
      </c>
      <c r="N15">
        <v>122729.29</v>
      </c>
    </row>
    <row r="16" spans="1:26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f>IF(ISBLANK('Original Dataset'!J16),$Z$2,'Original Dataset'!J16)</f>
        <v>0.27</v>
      </c>
      <c r="K16">
        <v>0</v>
      </c>
      <c r="L16">
        <f>IF(ISBLANK('Original Dataset'!L16),$Z$3,'Original Dataset'!L16)</f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f>IF(ISBLANK('Original Dataset'!J17),$Z$2,'Original Dataset'!J17)</f>
        <v>1.32</v>
      </c>
      <c r="K17">
        <v>0</v>
      </c>
      <c r="L17">
        <f>IF(ISBLANK('Original Dataset'!L17),$Z$3,'Original Dataset'!L17)</f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f>IF(ISBLANK('Original Dataset'!J18),$Z$2,'Original Dataset'!J18)</f>
        <v>1.22</v>
      </c>
      <c r="K18">
        <v>0</v>
      </c>
      <c r="L18">
        <f>IF(ISBLANK('Original Dataset'!L18),$Z$3,'Original Dataset'!L18)</f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f>IF(ISBLANK('Original Dataset'!J19),$Z$2,'Original Dataset'!J19)</f>
        <v>4.01</v>
      </c>
      <c r="K19">
        <v>0</v>
      </c>
      <c r="L19">
        <f>IF(ISBLANK('Original Dataset'!L19),$Z$3,'Original Dataset'!L19)</f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f>IF(ISBLANK('Original Dataset'!J20),$Z$2,'Original Dataset'!J20)</f>
        <v>0.2</v>
      </c>
      <c r="K20">
        <v>0</v>
      </c>
      <c r="L20">
        <f>IF(ISBLANK('Original Dataset'!L20),$Z$3,'Original Dataset'!L20)</f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f>IF(ISBLANK('Original Dataset'!J21),$Z$2,'Original Dataset'!J21)</f>
        <v>0.5</v>
      </c>
      <c r="K21">
        <v>0</v>
      </c>
      <c r="L21">
        <f>IF(ISBLANK('Original Dataset'!L21),$Z$3,'Original Dataset'!L21)</f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f>IF(ISBLANK('Original Dataset'!J22),$Z$2,'Original Dataset'!J22)</f>
        <v>6.95</v>
      </c>
      <c r="K22">
        <v>0</v>
      </c>
      <c r="L22">
        <f>IF(ISBLANK('Original Dataset'!L22),$Z$3,'Original Dataset'!L22)</f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f>IF(ISBLANK('Original Dataset'!J23),$Z$2,'Original Dataset'!J23)</f>
        <v>0.2</v>
      </c>
      <c r="K23">
        <v>0</v>
      </c>
      <c r="L23">
        <f>IF(ISBLANK('Original Dataset'!L23),$Z$3,'Original Dataset'!L23)</f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f>IF(ISBLANK('Original Dataset'!J24),$Z$2,'Original Dataset'!J24)</f>
        <v>1.61</v>
      </c>
      <c r="K24">
        <v>1</v>
      </c>
      <c r="L24">
        <f>IF(ISBLANK('Original Dataset'!L24),$Z$3,'Original Dataset'!L24)</f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f>IF(ISBLANK('Original Dataset'!J25),$Z$2,'Original Dataset'!J25)</f>
        <v>1.55</v>
      </c>
      <c r="K25">
        <v>0</v>
      </c>
      <c r="L25">
        <f>IF(ISBLANK('Original Dataset'!L25),$Z$3,'Original Dataset'!L25)</f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f>IF(ISBLANK('Original Dataset'!J26),$Z$2,'Original Dataset'!J26)</f>
        <v>2.99</v>
      </c>
      <c r="K26">
        <v>0</v>
      </c>
      <c r="L26">
        <f>IF(ISBLANK('Original Dataset'!L26),$Z$3,'Original Dataset'!L26)</f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f>IF(ISBLANK('Original Dataset'!J27),$Z$2,'Original Dataset'!J27)</f>
        <v>7.04</v>
      </c>
      <c r="K27">
        <v>0</v>
      </c>
      <c r="L27">
        <f>IF(ISBLANK('Original Dataset'!L27),$Z$3,'Original Dataset'!L27)</f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f>IF(ISBLANK('Original Dataset'!J28),$Z$2,'Original Dataset'!J28)</f>
        <v>4.9400000000000004</v>
      </c>
      <c r="K28">
        <v>0</v>
      </c>
      <c r="L28">
        <f>IF(ISBLANK('Original Dataset'!L28),$Z$3,'Original Dataset'!L28)</f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f>IF(ISBLANK('Original Dataset'!J29),$Z$2,'Original Dataset'!J29)</f>
        <v>16.149999999999999</v>
      </c>
      <c r="K29">
        <v>0</v>
      </c>
      <c r="L29">
        <f>IF(ISBLANK('Original Dataset'!L29),$Z$3,'Original Dataset'!L29)</f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f>IF(ISBLANK('Original Dataset'!J30),$Z$2,'Original Dataset'!J30)</f>
        <v>0.48</v>
      </c>
      <c r="K30">
        <v>0</v>
      </c>
      <c r="L30">
        <f>IF(ISBLANK('Original Dataset'!L30),$Z$3,'Original Dataset'!L30)</f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f>IF(ISBLANK('Original Dataset'!J31),$Z$2,'Original Dataset'!J31)</f>
        <v>0.31</v>
      </c>
      <c r="K31">
        <v>0</v>
      </c>
      <c r="L31">
        <f>IF(ISBLANK('Original Dataset'!L31),$Z$3,'Original Dataset'!L31)</f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f>IF(ISBLANK('Original Dataset'!J32),$Z$2,'Original Dataset'!J32)</f>
        <v>3.01</v>
      </c>
      <c r="K32">
        <v>1</v>
      </c>
      <c r="L32">
        <f>IF(ISBLANK('Original Dataset'!L32),$Z$3,'Original Dataset'!L32)</f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f>IF(ISBLANK('Original Dataset'!J33),$Z$2,'Original Dataset'!J33)</f>
        <v>12.15</v>
      </c>
      <c r="K33">
        <v>0</v>
      </c>
      <c r="L33">
        <f>IF(ISBLANK('Original Dataset'!L33),$Z$3,'Original Dataset'!L33)</f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f>IF(ISBLANK('Original Dataset'!J34),$Z$2,'Original Dataset'!J34)</f>
        <v>11.71</v>
      </c>
      <c r="K34">
        <v>0</v>
      </c>
      <c r="L34">
        <f>IF(ISBLANK('Original Dataset'!L34),$Z$3,'Original Dataset'!L34)</f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f>IF(ISBLANK('Original Dataset'!J35),$Z$2,'Original Dataset'!J35)</f>
        <v>0.62</v>
      </c>
      <c r="K35">
        <v>0</v>
      </c>
      <c r="L35" s="4">
        <f>IF(ISBLANK('Original Dataset'!L35),$Z$3,'Original Dataset'!L35)</f>
        <v>3.9246794871794881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f>IF(ISBLANK('Original Dataset'!J36),$Z$2,'Original Dataset'!J36)</f>
        <v>2.12</v>
      </c>
      <c r="K36">
        <v>0</v>
      </c>
      <c r="L36">
        <f>IF(ISBLANK('Original Dataset'!L36),$Z$3,'Original Dataset'!L36)</f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f>IF(ISBLANK('Original Dataset'!J37),$Z$2,'Original Dataset'!J37)</f>
        <v>6.31</v>
      </c>
      <c r="K37">
        <v>0</v>
      </c>
      <c r="L37">
        <f>IF(ISBLANK('Original Dataset'!L37),$Z$3,'Original Dataset'!L37)</f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f>IF(ISBLANK('Original Dataset'!J38),$Z$2,'Original Dataset'!J38)</f>
        <v>9.56</v>
      </c>
      <c r="K38">
        <v>1</v>
      </c>
      <c r="L38">
        <f>IF(ISBLANK('Original Dataset'!L38),$Z$3,'Original Dataset'!L38)</f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f>IF(ISBLANK('Original Dataset'!J39),$Z$2,'Original Dataset'!J39)</f>
        <v>9.0500000000000007</v>
      </c>
      <c r="K39">
        <v>0</v>
      </c>
      <c r="L39">
        <f>IF(ISBLANK('Original Dataset'!L39),$Z$3,'Original Dataset'!L39)</f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f>IF(ISBLANK('Original Dataset'!J40),$Z$2,'Original Dataset'!J40)</f>
        <v>5.05</v>
      </c>
      <c r="K40">
        <v>0</v>
      </c>
      <c r="L40">
        <f>IF(ISBLANK('Original Dataset'!L40),$Z$3,'Original Dataset'!L40)</f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f>IF(ISBLANK('Original Dataset'!J41),$Z$2,'Original Dataset'!J41)</f>
        <v>0.89</v>
      </c>
      <c r="K41">
        <v>0</v>
      </c>
      <c r="L41">
        <f>IF(ISBLANK('Original Dataset'!L41),$Z$3,'Original Dataset'!L41)</f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f>IF(ISBLANK('Original Dataset'!J42),$Z$2,'Original Dataset'!J42)</f>
        <v>5.57</v>
      </c>
      <c r="K42">
        <v>0</v>
      </c>
      <c r="L42">
        <f>IF(ISBLANK('Original Dataset'!L42),$Z$3,'Original Dataset'!L42)</f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f>IF(ISBLANK('Original Dataset'!J43),$Z$2,'Original Dataset'!J43)</f>
        <v>1.06</v>
      </c>
      <c r="K43">
        <v>0</v>
      </c>
      <c r="L43">
        <f>IF(ISBLANK('Original Dataset'!L43),$Z$3,'Original Dataset'!L43)</f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f>IF(ISBLANK('Original Dataset'!J44),$Z$2,'Original Dataset'!J44)</f>
        <v>1.24</v>
      </c>
      <c r="K44">
        <v>1</v>
      </c>
      <c r="L44">
        <f>IF(ISBLANK('Original Dataset'!L44),$Z$3,'Original Dataset'!L44)</f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f>IF(ISBLANK('Original Dataset'!J45),$Z$2,'Original Dataset'!J45)</f>
        <v>4.5199999999999996</v>
      </c>
      <c r="K45">
        <v>0</v>
      </c>
      <c r="L45">
        <f>IF(ISBLANK('Original Dataset'!L45),$Z$3,'Original Dataset'!L45)</f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f>IF(ISBLANK('Original Dataset'!J46),$Z$2,'Original Dataset'!J46)</f>
        <v>9.58</v>
      </c>
      <c r="K46">
        <v>0</v>
      </c>
      <c r="L46">
        <f>IF(ISBLANK('Original Dataset'!L46),$Z$3,'Original Dataset'!L46)</f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f>IF(ISBLANK('Original Dataset'!J47),$Z$2,'Original Dataset'!J47)</f>
        <v>5.52</v>
      </c>
      <c r="K47">
        <v>0</v>
      </c>
      <c r="L47">
        <f>IF(ISBLANK('Original Dataset'!L47),$Z$3,'Original Dataset'!L47)</f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f>IF(ISBLANK('Original Dataset'!J48),$Z$2,'Original Dataset'!J48)</f>
        <v>2.7</v>
      </c>
      <c r="K48">
        <v>1</v>
      </c>
      <c r="L48">
        <f>IF(ISBLANK('Original Dataset'!L48),$Z$3,'Original Dataset'!L48)</f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f>IF(ISBLANK('Original Dataset'!J49),$Z$2,'Original Dataset'!J49)</f>
        <v>9.64</v>
      </c>
      <c r="K49">
        <v>0</v>
      </c>
      <c r="L49">
        <f>IF(ISBLANK('Original Dataset'!L49),$Z$3,'Original Dataset'!L49)</f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f>IF(ISBLANK('Original Dataset'!J50),$Z$2,'Original Dataset'!J50)</f>
        <v>3.49</v>
      </c>
      <c r="K50">
        <v>1</v>
      </c>
      <c r="L50">
        <f>IF(ISBLANK('Original Dataset'!L50),$Z$3,'Original Dataset'!L50)</f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f>IF(ISBLANK('Original Dataset'!J51),$Z$2,'Original Dataset'!J51)</f>
        <v>9.11</v>
      </c>
      <c r="K51">
        <v>0</v>
      </c>
      <c r="L51">
        <f>IF(ISBLANK('Original Dataset'!L51),$Z$3,'Original Dataset'!L51)</f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f>IF(ISBLANK('Original Dataset'!J52),$Z$2,'Original Dataset'!J52)</f>
        <v>7.4</v>
      </c>
      <c r="K52">
        <v>0</v>
      </c>
      <c r="L52">
        <f>IF(ISBLANK('Original Dataset'!L52),$Z$3,'Original Dataset'!L52)</f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f>IF(ISBLANK('Original Dataset'!J53),$Z$2,'Original Dataset'!J53)</f>
        <v>7.16</v>
      </c>
      <c r="K53">
        <v>0</v>
      </c>
      <c r="L53">
        <f>IF(ISBLANK('Original Dataset'!L53),$Z$3,'Original Dataset'!L53)</f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f>IF(ISBLANK('Original Dataset'!J54),$Z$2,'Original Dataset'!J54)</f>
        <v>22.02</v>
      </c>
      <c r="K54">
        <v>0</v>
      </c>
      <c r="L54">
        <f>IF(ISBLANK('Original Dataset'!L54),$Z$3,'Original Dataset'!L54)</f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f>IF(ISBLANK('Original Dataset'!J55),$Z$2,'Original Dataset'!J55)</f>
        <v>6.18</v>
      </c>
      <c r="K55">
        <v>0</v>
      </c>
      <c r="L55">
        <f>IF(ISBLANK('Original Dataset'!L55),$Z$3,'Original Dataset'!L55)</f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f>IF(ISBLANK('Original Dataset'!J56),$Z$2,'Original Dataset'!J56)</f>
        <v>1.76</v>
      </c>
      <c r="K56">
        <v>0</v>
      </c>
      <c r="L56">
        <f>IF(ISBLANK('Original Dataset'!L56),$Z$3,'Original Dataset'!L56)</f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f>IF(ISBLANK('Original Dataset'!J57),$Z$2,'Original Dataset'!J57)</f>
        <v>0.47</v>
      </c>
      <c r="K57">
        <v>0</v>
      </c>
      <c r="L57">
        <f>IF(ISBLANK('Original Dataset'!L57),$Z$3,'Original Dataset'!L57)</f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f>IF(ISBLANK('Original Dataset'!J58),$Z$2,'Original Dataset'!J58)</f>
        <v>0.2</v>
      </c>
      <c r="K58">
        <v>0</v>
      </c>
      <c r="L58">
        <f>IF(ISBLANK('Original Dataset'!L58),$Z$3,'Original Dataset'!L58)</f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f>IF(ISBLANK('Original Dataset'!J59),$Z$2,'Original Dataset'!J59)</f>
        <v>5.1100000000000003</v>
      </c>
      <c r="K59">
        <v>0</v>
      </c>
      <c r="L59">
        <f>IF(ISBLANK('Original Dataset'!L59),$Z$3,'Original Dataset'!L59)</f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f>IF(ISBLANK('Original Dataset'!J60),$Z$2,'Original Dataset'!J60)</f>
        <v>0.2</v>
      </c>
      <c r="K60">
        <v>0</v>
      </c>
      <c r="L60">
        <f>IF(ISBLANK('Original Dataset'!L60),$Z$3,'Original Dataset'!L60)</f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f>IF(ISBLANK('Original Dataset'!J61),$Z$2,'Original Dataset'!J61)</f>
        <v>13.59</v>
      </c>
      <c r="K61">
        <v>0</v>
      </c>
      <c r="L61">
        <f>IF(ISBLANK('Original Dataset'!L61),$Z$3,'Original Dataset'!L61)</f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f>IF(ISBLANK('Original Dataset'!J62),$Z$2,'Original Dataset'!J62)</f>
        <v>1.02</v>
      </c>
      <c r="K62">
        <v>0</v>
      </c>
      <c r="L62">
        <f>IF(ISBLANK('Original Dataset'!L62),$Z$3,'Original Dataset'!L62)</f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f>IF(ISBLANK('Original Dataset'!J63),$Z$2,'Original Dataset'!J63)</f>
        <v>1.64</v>
      </c>
      <c r="K63">
        <v>0</v>
      </c>
      <c r="L63">
        <f>IF(ISBLANK('Original Dataset'!L63),$Z$3,'Original Dataset'!L63)</f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f>IF(ISBLANK('Original Dataset'!J64),$Z$2,'Original Dataset'!J64)</f>
        <v>5.15</v>
      </c>
      <c r="K64">
        <v>0</v>
      </c>
      <c r="L64">
        <f>IF(ISBLANK('Original Dataset'!L64),$Z$3,'Original Dataset'!L64)</f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f>IF(ISBLANK('Original Dataset'!J65),$Z$2,'Original Dataset'!J65)</f>
        <v>1.1100000000000001</v>
      </c>
      <c r="K65">
        <v>0</v>
      </c>
      <c r="L65">
        <f>IF(ISBLANK('Original Dataset'!L65),$Z$3,'Original Dataset'!L65)</f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f>IF(ISBLANK('Original Dataset'!J66),$Z$2,'Original Dataset'!J66)</f>
        <v>6.08</v>
      </c>
      <c r="K66">
        <v>1</v>
      </c>
      <c r="L66">
        <f>IF(ISBLANK('Original Dataset'!L66),$Z$3,'Original Dataset'!L66)</f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f>IF(ISBLANK('Original Dataset'!J67),$Z$2,'Original Dataset'!J67)</f>
        <v>10.91</v>
      </c>
      <c r="K67">
        <v>0</v>
      </c>
      <c r="L67">
        <f>IF(ISBLANK('Original Dataset'!L67),$Z$3,'Original Dataset'!L67)</f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f>IF(ISBLANK('Original Dataset'!J68),$Z$2,'Original Dataset'!J68)</f>
        <v>19.010000000000002</v>
      </c>
      <c r="K68">
        <v>1</v>
      </c>
      <c r="L68">
        <f>IF(ISBLANK('Original Dataset'!L68),$Z$3,'Original Dataset'!L68)</f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f>IF(ISBLANK('Original Dataset'!J69),$Z$2,'Original Dataset'!J69)</f>
        <v>0.77</v>
      </c>
      <c r="K69">
        <v>0</v>
      </c>
      <c r="L69">
        <f>IF(ISBLANK('Original Dataset'!L69),$Z$3,'Original Dataset'!L69)</f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f>IF(ISBLANK('Original Dataset'!J70),$Z$2,'Original Dataset'!J70)</f>
        <v>2.83</v>
      </c>
      <c r="K70">
        <v>1</v>
      </c>
      <c r="L70">
        <f>IF(ISBLANK('Original Dataset'!L70),$Z$3,'Original Dataset'!L70)</f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f>IF(ISBLANK('Original Dataset'!J71),$Z$2,'Original Dataset'!J71)</f>
        <v>2.33</v>
      </c>
      <c r="K71">
        <v>0</v>
      </c>
      <c r="L71">
        <f>IF(ISBLANK('Original Dataset'!L71),$Z$3,'Original Dataset'!L71)</f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f>IF(ISBLANK('Original Dataset'!J72),$Z$2,'Original Dataset'!J72)</f>
        <v>1.43</v>
      </c>
      <c r="K72">
        <v>0</v>
      </c>
      <c r="L72">
        <f>IF(ISBLANK('Original Dataset'!L72),$Z$3,'Original Dataset'!L72)</f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f>IF(ISBLANK('Original Dataset'!J73),$Z$2,'Original Dataset'!J73)</f>
        <v>3.3650000000000002</v>
      </c>
      <c r="K73">
        <v>0</v>
      </c>
      <c r="L73">
        <f>IF(ISBLANK('Original Dataset'!L73),$Z$3,'Original Dataset'!L73)</f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f>IF(ISBLANK('Original Dataset'!J74),$Z$2,'Original Dataset'!J74)</f>
        <v>4.91</v>
      </c>
      <c r="K74">
        <v>0</v>
      </c>
      <c r="L74">
        <f>IF(ISBLANK('Original Dataset'!L74),$Z$3,'Original Dataset'!L74)</f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f>IF(ISBLANK('Original Dataset'!J75),$Z$2,'Original Dataset'!J75)</f>
        <v>7.03</v>
      </c>
      <c r="K75">
        <v>0</v>
      </c>
      <c r="L75">
        <f>IF(ISBLANK('Original Dataset'!L75),$Z$3,'Original Dataset'!L75)</f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f>IF(ISBLANK('Original Dataset'!J76),$Z$2,'Original Dataset'!J76)</f>
        <v>0.28000000000000003</v>
      </c>
      <c r="K76">
        <v>1</v>
      </c>
      <c r="L76">
        <f>IF(ISBLANK('Original Dataset'!L76),$Z$3,'Original Dataset'!L76)</f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f>IF(ISBLANK('Original Dataset'!J77),$Z$2,'Original Dataset'!J77)</f>
        <v>3.61</v>
      </c>
      <c r="K77">
        <v>0</v>
      </c>
      <c r="L77">
        <f>IF(ISBLANK('Original Dataset'!L77),$Z$3,'Original Dataset'!L77)</f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f>IF(ISBLANK('Original Dataset'!J78),$Z$2,'Original Dataset'!J78)</f>
        <v>7.52</v>
      </c>
      <c r="K78">
        <v>1</v>
      </c>
      <c r="L78">
        <f>IF(ISBLANK('Original Dataset'!L78),$Z$3,'Original Dataset'!L78)</f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f>IF(ISBLANK('Original Dataset'!J79),$Z$2,'Original Dataset'!J79)</f>
        <v>2.58</v>
      </c>
      <c r="K79">
        <v>0</v>
      </c>
      <c r="L79">
        <f>IF(ISBLANK('Original Dataset'!L79),$Z$3,'Original Dataset'!L79)</f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f>IF(ISBLANK('Original Dataset'!J80),$Z$2,'Original Dataset'!J80)</f>
        <v>2.29</v>
      </c>
      <c r="K80">
        <v>0</v>
      </c>
      <c r="L80">
        <f>IF(ISBLANK('Original Dataset'!L80),$Z$3,'Original Dataset'!L80)</f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f>IF(ISBLANK('Original Dataset'!J81),$Z$2,'Original Dataset'!J81)</f>
        <v>2.39</v>
      </c>
      <c r="K81">
        <v>0</v>
      </c>
      <c r="L81">
        <f>IF(ISBLANK('Original Dataset'!L81),$Z$3,'Original Dataset'!L81)</f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f>IF(ISBLANK('Original Dataset'!J82),$Z$2,'Original Dataset'!J82)</f>
        <v>5.24</v>
      </c>
      <c r="K82">
        <v>0</v>
      </c>
      <c r="L82">
        <f>IF(ISBLANK('Original Dataset'!L82),$Z$3,'Original Dataset'!L82)</f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f>IF(ISBLANK('Original Dataset'!J83),$Z$2,'Original Dataset'!J83)</f>
        <v>3.17</v>
      </c>
      <c r="K83">
        <v>0</v>
      </c>
      <c r="L83">
        <f>IF(ISBLANK('Original Dataset'!L83),$Z$3,'Original Dataset'!L83)</f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f>IF(ISBLANK('Original Dataset'!J84),$Z$2,'Original Dataset'!J84)</f>
        <v>2.66</v>
      </c>
      <c r="K84">
        <v>0</v>
      </c>
      <c r="L84">
        <f>IF(ISBLANK('Original Dataset'!L84),$Z$3,'Original Dataset'!L84)</f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f>IF(ISBLANK('Original Dataset'!J85),$Z$2,'Original Dataset'!J85)</f>
        <v>1.41</v>
      </c>
      <c r="K85">
        <v>0</v>
      </c>
      <c r="L85">
        <f>IF(ISBLANK('Original Dataset'!L85),$Z$3,'Original Dataset'!L85)</f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f>IF(ISBLANK('Original Dataset'!J86),$Z$2,'Original Dataset'!J86)</f>
        <v>7.34</v>
      </c>
      <c r="K86">
        <v>0</v>
      </c>
      <c r="L86">
        <f>IF(ISBLANK('Original Dataset'!L86),$Z$3,'Original Dataset'!L86)</f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f>IF(ISBLANK('Original Dataset'!J87),$Z$2,'Original Dataset'!J87)</f>
        <v>5.95</v>
      </c>
      <c r="K87">
        <v>0</v>
      </c>
      <c r="L87" s="4">
        <f>IF(ISBLANK('Original Dataset'!L87),$Z$3,'Original Dataset'!L87)</f>
        <v>3.9246794871794881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f>IF(ISBLANK('Original Dataset'!J88),$Z$2,'Original Dataset'!J88)</f>
        <v>15.51</v>
      </c>
      <c r="K88">
        <v>0</v>
      </c>
      <c r="L88">
        <f>IF(ISBLANK('Original Dataset'!L88),$Z$3,'Original Dataset'!L88)</f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f>IF(ISBLANK('Original Dataset'!J89),$Z$2,'Original Dataset'!J89)</f>
        <v>4.3099999999999996</v>
      </c>
      <c r="K89">
        <v>0</v>
      </c>
      <c r="L89">
        <f>IF(ISBLANK('Original Dataset'!L89),$Z$3,'Original Dataset'!L89)</f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f>IF(ISBLANK('Original Dataset'!J90),$Z$2,'Original Dataset'!J90)</f>
        <v>6.61</v>
      </c>
      <c r="K90">
        <v>1</v>
      </c>
      <c r="L90">
        <f>IF(ISBLANK('Original Dataset'!L90),$Z$3,'Original Dataset'!L90)</f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f>IF(ISBLANK('Original Dataset'!J91),$Z$2,'Original Dataset'!J91)</f>
        <v>4.26</v>
      </c>
      <c r="K91">
        <v>0</v>
      </c>
      <c r="L91">
        <f>IF(ISBLANK('Original Dataset'!L91),$Z$3,'Original Dataset'!L91)</f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f>IF(ISBLANK('Original Dataset'!J92),$Z$2,'Original Dataset'!J92)</f>
        <v>5.75</v>
      </c>
      <c r="K92">
        <v>0</v>
      </c>
      <c r="L92">
        <f>IF(ISBLANK('Original Dataset'!L92),$Z$3,'Original Dataset'!L92)</f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f>IF(ISBLANK('Original Dataset'!J93),$Z$2,'Original Dataset'!J93)</f>
        <v>0.33</v>
      </c>
      <c r="K93">
        <v>0</v>
      </c>
      <c r="L93">
        <f>IF(ISBLANK('Original Dataset'!L93),$Z$3,'Original Dataset'!L93)</f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f>IF(ISBLANK('Original Dataset'!J94),$Z$2,'Original Dataset'!J94)</f>
        <v>2.92</v>
      </c>
      <c r="K94">
        <v>0</v>
      </c>
      <c r="L94">
        <f>IF(ISBLANK('Original Dataset'!L94),$Z$3,'Original Dataset'!L94)</f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f>IF(ISBLANK('Original Dataset'!J95),$Z$2,'Original Dataset'!J95)</f>
        <v>1.64</v>
      </c>
      <c r="K95">
        <v>0</v>
      </c>
      <c r="L95">
        <f>IF(ISBLANK('Original Dataset'!L95),$Z$3,'Original Dataset'!L95)</f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f>IF(ISBLANK('Original Dataset'!J96),$Z$2,'Original Dataset'!J96)</f>
        <v>0.8</v>
      </c>
      <c r="K96">
        <v>0</v>
      </c>
      <c r="L96">
        <f>IF(ISBLANK('Original Dataset'!L96),$Z$3,'Original Dataset'!L96)</f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f>IF(ISBLANK('Original Dataset'!J97),$Z$2,'Original Dataset'!J97)</f>
        <v>5.79</v>
      </c>
      <c r="K97">
        <v>0</v>
      </c>
      <c r="L97">
        <f>IF(ISBLANK('Original Dataset'!L97),$Z$3,'Original Dataset'!L97)</f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f>IF(ISBLANK('Original Dataset'!J98),$Z$2,'Original Dataset'!J98)</f>
        <v>19.600000000000001</v>
      </c>
      <c r="K98">
        <v>0</v>
      </c>
      <c r="L98">
        <f>IF(ISBLANK('Original Dataset'!L98),$Z$3,'Original Dataset'!L98)</f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f>IF(ISBLANK('Original Dataset'!J99),$Z$2,'Original Dataset'!J99)</f>
        <v>7.57</v>
      </c>
      <c r="K99">
        <v>0</v>
      </c>
      <c r="L99">
        <f>IF(ISBLANK('Original Dataset'!L99),$Z$3,'Original Dataset'!L99)</f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f>IF(ISBLANK('Original Dataset'!J100),$Z$2,'Original Dataset'!J100)</f>
        <v>3.3650000000000002</v>
      </c>
      <c r="K100">
        <v>0</v>
      </c>
      <c r="L100">
        <f>IF(ISBLANK('Original Dataset'!L100),$Z$3,'Original Dataset'!L100)</f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f>IF(ISBLANK('Original Dataset'!J101),$Z$2,'Original Dataset'!J101)</f>
        <v>2.7</v>
      </c>
      <c r="K101">
        <v>0</v>
      </c>
      <c r="L101">
        <f>IF(ISBLANK('Original Dataset'!L101),$Z$3,'Original Dataset'!L101)</f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f>IF(ISBLANK('Original Dataset'!J102),$Z$2,'Original Dataset'!J102)</f>
        <v>0.2</v>
      </c>
      <c r="K102">
        <v>0</v>
      </c>
      <c r="L102">
        <f>IF(ISBLANK('Original Dataset'!L102),$Z$3,'Original Dataset'!L102)</f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f>IF(ISBLANK('Original Dataset'!J103),$Z$2,'Original Dataset'!J103)</f>
        <v>7.87</v>
      </c>
      <c r="K103">
        <v>0</v>
      </c>
      <c r="L103">
        <f>IF(ISBLANK('Original Dataset'!L103),$Z$3,'Original Dataset'!L103)</f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f>IF(ISBLANK('Original Dataset'!J104),$Z$2,'Original Dataset'!J104)</f>
        <v>0.77</v>
      </c>
      <c r="K104">
        <v>1</v>
      </c>
      <c r="L104">
        <f>IF(ISBLANK('Original Dataset'!L104),$Z$3,'Original Dataset'!L104)</f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f>IF(ISBLANK('Original Dataset'!J105),$Z$2,'Original Dataset'!J105)</f>
        <v>1.48</v>
      </c>
      <c r="K105">
        <v>0</v>
      </c>
      <c r="L105">
        <f>IF(ISBLANK('Original Dataset'!L105),$Z$3,'Original Dataset'!L105)</f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f>IF(ISBLANK('Original Dataset'!J106),$Z$2,'Original Dataset'!J106)</f>
        <v>2.87</v>
      </c>
      <c r="K106">
        <v>0</v>
      </c>
      <c r="L106">
        <f>IF(ISBLANK('Original Dataset'!L106),$Z$3,'Original Dataset'!L106)</f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f>IF(ISBLANK('Original Dataset'!J107),$Z$2,'Original Dataset'!J107)</f>
        <v>2.83</v>
      </c>
      <c r="K107">
        <v>0</v>
      </c>
      <c r="L107">
        <f>IF(ISBLANK('Original Dataset'!L107),$Z$3,'Original Dataset'!L107)</f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f>IF(ISBLANK('Original Dataset'!J108),$Z$2,'Original Dataset'!J108)</f>
        <v>0.25</v>
      </c>
      <c r="K108">
        <v>0</v>
      </c>
      <c r="L108">
        <f>IF(ISBLANK('Original Dataset'!L108),$Z$3,'Original Dataset'!L108)</f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f>IF(ISBLANK('Original Dataset'!J109),$Z$2,'Original Dataset'!J109)</f>
        <v>13.33</v>
      </c>
      <c r="K109">
        <v>0</v>
      </c>
      <c r="L109">
        <f>IF(ISBLANK('Original Dataset'!L109),$Z$3,'Original Dataset'!L109)</f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f>IF(ISBLANK('Original Dataset'!J110),$Z$2,'Original Dataset'!J110)</f>
        <v>6.35</v>
      </c>
      <c r="K110">
        <v>1</v>
      </c>
      <c r="L110">
        <f>IF(ISBLANK('Original Dataset'!L110),$Z$3,'Original Dataset'!L110)</f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f>IF(ISBLANK('Original Dataset'!J111),$Z$2,'Original Dataset'!J111)</f>
        <v>6.69</v>
      </c>
      <c r="K111">
        <v>0</v>
      </c>
      <c r="L111">
        <f>IF(ISBLANK('Original Dataset'!L111),$Z$3,'Original Dataset'!L111)</f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f>IF(ISBLANK('Original Dataset'!J112),$Z$2,'Original Dataset'!J112)</f>
        <v>1.28</v>
      </c>
      <c r="K112">
        <v>0</v>
      </c>
      <c r="L112">
        <f>IF(ISBLANK('Original Dataset'!L112),$Z$3,'Original Dataset'!L112)</f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f>IF(ISBLANK('Original Dataset'!J113),$Z$2,'Original Dataset'!J113)</f>
        <v>0.92</v>
      </c>
      <c r="K113">
        <v>0</v>
      </c>
      <c r="L113">
        <f>IF(ISBLANK('Original Dataset'!L113),$Z$3,'Original Dataset'!L113)</f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f>IF(ISBLANK('Original Dataset'!J114),$Z$2,'Original Dataset'!J114)</f>
        <v>1.05</v>
      </c>
      <c r="K114">
        <v>0</v>
      </c>
      <c r="L114">
        <f>IF(ISBLANK('Original Dataset'!L114),$Z$3,'Original Dataset'!L114)</f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f>IF(ISBLANK('Original Dataset'!J115),$Z$2,'Original Dataset'!J115)</f>
        <v>2.67</v>
      </c>
      <c r="K115">
        <v>0</v>
      </c>
      <c r="L115">
        <f>IF(ISBLANK('Original Dataset'!L115),$Z$3,'Original Dataset'!L115)</f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f>IF(ISBLANK('Original Dataset'!J116),$Z$2,'Original Dataset'!J116)</f>
        <v>5.91</v>
      </c>
      <c r="K116">
        <v>0</v>
      </c>
      <c r="L116">
        <f>IF(ISBLANK('Original Dataset'!L116),$Z$3,'Original Dataset'!L116)</f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f>IF(ISBLANK('Original Dataset'!J117),$Z$2,'Original Dataset'!J117)</f>
        <v>6.37</v>
      </c>
      <c r="K117">
        <v>0</v>
      </c>
      <c r="L117">
        <f>IF(ISBLANK('Original Dataset'!L117),$Z$3,'Original Dataset'!L117)</f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f>IF(ISBLANK('Original Dataset'!J118),$Z$2,'Original Dataset'!J118)</f>
        <v>2.4900000000000002</v>
      </c>
      <c r="K118">
        <v>1</v>
      </c>
      <c r="L118">
        <f>IF(ISBLANK('Original Dataset'!L118),$Z$3,'Original Dataset'!L118)</f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f>IF(ISBLANK('Original Dataset'!J119),$Z$2,'Original Dataset'!J119)</f>
        <v>1.56</v>
      </c>
      <c r="K119">
        <v>0</v>
      </c>
      <c r="L119">
        <f>IF(ISBLANK('Original Dataset'!L119),$Z$3,'Original Dataset'!L119)</f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f>IF(ISBLANK('Original Dataset'!J120),$Z$2,'Original Dataset'!J120)</f>
        <v>14.95</v>
      </c>
      <c r="K120">
        <v>0</v>
      </c>
      <c r="L120">
        <f>IF(ISBLANK('Original Dataset'!L120),$Z$3,'Original Dataset'!L120)</f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f>IF(ISBLANK('Original Dataset'!J121),$Z$2,'Original Dataset'!J121)</f>
        <v>7.85</v>
      </c>
      <c r="K121">
        <v>0</v>
      </c>
      <c r="L121">
        <f>IF(ISBLANK('Original Dataset'!L121),$Z$3,'Original Dataset'!L121)</f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f>IF(ISBLANK('Original Dataset'!J122),$Z$2,'Original Dataset'!J122)</f>
        <v>6.8</v>
      </c>
      <c r="K122">
        <v>0</v>
      </c>
      <c r="L122">
        <f>IF(ISBLANK('Original Dataset'!L122),$Z$3,'Original Dataset'!L122)</f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f>IF(ISBLANK('Original Dataset'!J123),$Z$2,'Original Dataset'!J123)</f>
        <v>2.2000000000000002</v>
      </c>
      <c r="K123">
        <v>0</v>
      </c>
      <c r="L123">
        <f>IF(ISBLANK('Original Dataset'!L123),$Z$3,'Original Dataset'!L123)</f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f>IF(ISBLANK('Original Dataset'!J124),$Z$2,'Original Dataset'!J124)</f>
        <v>1.88</v>
      </c>
      <c r="K124">
        <v>0</v>
      </c>
      <c r="L124">
        <f>IF(ISBLANK('Original Dataset'!L124),$Z$3,'Original Dataset'!L124)</f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f>IF(ISBLANK('Original Dataset'!J125),$Z$2,'Original Dataset'!J125)</f>
        <v>15.79</v>
      </c>
      <c r="K125">
        <v>0</v>
      </c>
      <c r="L125">
        <f>IF(ISBLANK('Original Dataset'!L125),$Z$3,'Original Dataset'!L125)</f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f>IF(ISBLANK('Original Dataset'!J126),$Z$2,'Original Dataset'!J126)</f>
        <v>2.34</v>
      </c>
      <c r="K126">
        <v>1</v>
      </c>
      <c r="L126">
        <f>IF(ISBLANK('Original Dataset'!L126),$Z$3,'Original Dataset'!L126)</f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f>IF(ISBLANK('Original Dataset'!J127),$Z$2,'Original Dataset'!J127)</f>
        <v>0.54</v>
      </c>
      <c r="K127">
        <v>0</v>
      </c>
      <c r="L127">
        <f>IF(ISBLANK('Original Dataset'!L127),$Z$3,'Original Dataset'!L127)</f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f>IF(ISBLANK('Original Dataset'!J128),$Z$2,'Original Dataset'!J128)</f>
        <v>5.37</v>
      </c>
      <c r="K128">
        <v>1</v>
      </c>
      <c r="L128">
        <f>IF(ISBLANK('Original Dataset'!L128),$Z$3,'Original Dataset'!L128)</f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f>IF(ISBLANK('Original Dataset'!J129),$Z$2,'Original Dataset'!J129)</f>
        <v>3.19</v>
      </c>
      <c r="K129">
        <v>0</v>
      </c>
      <c r="L129">
        <f>IF(ISBLANK('Original Dataset'!L129),$Z$3,'Original Dataset'!L129)</f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f>IF(ISBLANK('Original Dataset'!J130),$Z$2,'Original Dataset'!J130)</f>
        <v>1.1000000000000001</v>
      </c>
      <c r="K130">
        <v>1</v>
      </c>
      <c r="L130">
        <f>IF(ISBLANK('Original Dataset'!L130),$Z$3,'Original Dataset'!L130)</f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f>IF(ISBLANK('Original Dataset'!J131),$Z$2,'Original Dataset'!J131)</f>
        <v>0.21</v>
      </c>
      <c r="K131">
        <v>0</v>
      </c>
      <c r="L131">
        <f>IF(ISBLANK('Original Dataset'!L131),$Z$3,'Original Dataset'!L131)</f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f>IF(ISBLANK('Original Dataset'!J132),$Z$2,'Original Dataset'!J132)</f>
        <v>5.12</v>
      </c>
      <c r="K132">
        <v>1</v>
      </c>
      <c r="L132">
        <f>IF(ISBLANK('Original Dataset'!L132),$Z$3,'Original Dataset'!L132)</f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f>IF(ISBLANK('Original Dataset'!J133),$Z$2,'Original Dataset'!J133)</f>
        <v>9.77</v>
      </c>
      <c r="K133">
        <v>0</v>
      </c>
      <c r="L133">
        <f>IF(ISBLANK('Original Dataset'!L133),$Z$3,'Original Dataset'!L133)</f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f>IF(ISBLANK('Original Dataset'!J134),$Z$2,'Original Dataset'!J134)</f>
        <v>3.77</v>
      </c>
      <c r="K134">
        <v>0</v>
      </c>
      <c r="L134">
        <f>IF(ISBLANK('Original Dataset'!L134),$Z$3,'Original Dataset'!L134)</f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f>IF(ISBLANK('Original Dataset'!J135),$Z$2,'Original Dataset'!J135)</f>
        <v>0.78</v>
      </c>
      <c r="K135">
        <v>0</v>
      </c>
      <c r="L135" s="4">
        <f>IF(ISBLANK('Original Dataset'!L135),$Z$3,'Original Dataset'!L135)</f>
        <v>3.9246794871794881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f>IF(ISBLANK('Original Dataset'!J136),$Z$2,'Original Dataset'!J136)</f>
        <v>5.17</v>
      </c>
      <c r="K136">
        <v>1</v>
      </c>
      <c r="L136">
        <f>IF(ISBLANK('Original Dataset'!L136),$Z$3,'Original Dataset'!L136)</f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f>IF(ISBLANK('Original Dataset'!J137),$Z$2,'Original Dataset'!J137)</f>
        <v>3.2</v>
      </c>
      <c r="K137">
        <v>0</v>
      </c>
      <c r="L137">
        <f>IF(ISBLANK('Original Dataset'!L137),$Z$3,'Original Dataset'!L137)</f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f>IF(ISBLANK('Original Dataset'!J138),$Z$2,'Original Dataset'!J138)</f>
        <v>3.4</v>
      </c>
      <c r="K138">
        <v>0</v>
      </c>
      <c r="L138" s="4">
        <f>IF(ISBLANK('Original Dataset'!L138),$Z$3,'Original Dataset'!L138)</f>
        <v>3.9246794871794881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f>IF(ISBLANK('Original Dataset'!J139),$Z$2,'Original Dataset'!J139)</f>
        <v>7.38</v>
      </c>
      <c r="K139">
        <v>0</v>
      </c>
      <c r="L139">
        <f>IF(ISBLANK('Original Dataset'!L139),$Z$3,'Original Dataset'!L139)</f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f>IF(ISBLANK('Original Dataset'!J140),$Z$2,'Original Dataset'!J140)</f>
        <v>0.85</v>
      </c>
      <c r="K140">
        <v>1</v>
      </c>
      <c r="L140">
        <f>IF(ISBLANK('Original Dataset'!L140),$Z$3,'Original Dataset'!L140)</f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f>IF(ISBLANK('Original Dataset'!J141),$Z$2,'Original Dataset'!J141)</f>
        <v>2.89</v>
      </c>
      <c r="K141">
        <v>0</v>
      </c>
      <c r="L141">
        <f>IF(ISBLANK('Original Dataset'!L141),$Z$3,'Original Dataset'!L141)</f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f>IF(ISBLANK('Original Dataset'!J142),$Z$2,'Original Dataset'!J142)</f>
        <v>0.77</v>
      </c>
      <c r="K142">
        <v>0</v>
      </c>
      <c r="L142">
        <f>IF(ISBLANK('Original Dataset'!L142),$Z$3,'Original Dataset'!L142)</f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f>IF(ISBLANK('Original Dataset'!J143),$Z$2,'Original Dataset'!J143)</f>
        <v>2.92</v>
      </c>
      <c r="K143">
        <v>0</v>
      </c>
      <c r="L143">
        <f>IF(ISBLANK('Original Dataset'!L143),$Z$3,'Original Dataset'!L143)</f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f>IF(ISBLANK('Original Dataset'!J144),$Z$2,'Original Dataset'!J144)</f>
        <v>3.07</v>
      </c>
      <c r="K144">
        <v>0</v>
      </c>
      <c r="L144">
        <f>IF(ISBLANK('Original Dataset'!L144),$Z$3,'Original Dataset'!L144)</f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f>IF(ISBLANK('Original Dataset'!J145),$Z$2,'Original Dataset'!J145)</f>
        <v>9.6999999999999993</v>
      </c>
      <c r="K145">
        <v>0</v>
      </c>
      <c r="L145">
        <f>IF(ISBLANK('Original Dataset'!L145),$Z$3,'Original Dataset'!L145)</f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f>IF(ISBLANK('Original Dataset'!J146),$Z$2,'Original Dataset'!J146)</f>
        <v>3.71</v>
      </c>
      <c r="K146">
        <v>0</v>
      </c>
      <c r="L146">
        <f>IF(ISBLANK('Original Dataset'!L146),$Z$3,'Original Dataset'!L146)</f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f>IF(ISBLANK('Original Dataset'!J147),$Z$2,'Original Dataset'!J147)</f>
        <v>10.79</v>
      </c>
      <c r="K147">
        <v>0</v>
      </c>
      <c r="L147">
        <f>IF(ISBLANK('Original Dataset'!L147),$Z$3,'Original Dataset'!L147)</f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f>IF(ISBLANK('Original Dataset'!J148),$Z$2,'Original Dataset'!J148)</f>
        <v>6.03</v>
      </c>
      <c r="K148">
        <v>0</v>
      </c>
      <c r="L148">
        <f>IF(ISBLANK('Original Dataset'!L148),$Z$3,'Original Dataset'!L148)</f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f>IF(ISBLANK('Original Dataset'!J149),$Z$2,'Original Dataset'!J149)</f>
        <v>4.92</v>
      </c>
      <c r="K149">
        <v>0</v>
      </c>
      <c r="L149">
        <f>IF(ISBLANK('Original Dataset'!L149),$Z$3,'Original Dataset'!L149)</f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f>IF(ISBLANK('Original Dataset'!J150),$Z$2,'Original Dataset'!J150)</f>
        <v>19.78</v>
      </c>
      <c r="K150">
        <v>0</v>
      </c>
      <c r="L150">
        <f>IF(ISBLANK('Original Dataset'!L150),$Z$3,'Original Dataset'!L150)</f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f>IF(ISBLANK('Original Dataset'!J151),$Z$2,'Original Dataset'!J151)</f>
        <v>5.45</v>
      </c>
      <c r="K151">
        <v>0</v>
      </c>
      <c r="L151">
        <f>IF(ISBLANK('Original Dataset'!L151),$Z$3,'Original Dataset'!L151)</f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f>IF(ISBLANK('Original Dataset'!J152),$Z$2,'Original Dataset'!J152)</f>
        <v>2.33</v>
      </c>
      <c r="K152">
        <v>1</v>
      </c>
      <c r="L152">
        <f>IF(ISBLANK('Original Dataset'!L152),$Z$3,'Original Dataset'!L152)</f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f>IF(ISBLANK('Original Dataset'!J153),$Z$2,'Original Dataset'!J153)</f>
        <v>3.55</v>
      </c>
      <c r="K153">
        <v>0</v>
      </c>
      <c r="L153">
        <f>IF(ISBLANK('Original Dataset'!L153),$Z$3,'Original Dataset'!L153)</f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f>IF(ISBLANK('Original Dataset'!J154),$Z$2,'Original Dataset'!J154)</f>
        <v>0.2</v>
      </c>
      <c r="K154">
        <v>0</v>
      </c>
      <c r="L154">
        <f>IF(ISBLANK('Original Dataset'!L154),$Z$3,'Original Dataset'!L154)</f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f>IF(ISBLANK('Original Dataset'!J155),$Z$2,'Original Dataset'!J155)</f>
        <v>2.09</v>
      </c>
      <c r="K155">
        <v>0</v>
      </c>
      <c r="L155">
        <f>IF(ISBLANK('Original Dataset'!L155),$Z$3,'Original Dataset'!L155)</f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f>IF(ISBLANK('Original Dataset'!J156),$Z$2,'Original Dataset'!J156)</f>
        <v>2.2599999999999998</v>
      </c>
      <c r="K156">
        <v>0</v>
      </c>
      <c r="L156">
        <f>IF(ISBLANK('Original Dataset'!L156),$Z$3,'Original Dataset'!L156)</f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f>IF(ISBLANK('Original Dataset'!J157),$Z$2,'Original Dataset'!J157)</f>
        <v>0.44</v>
      </c>
      <c r="K157">
        <v>0</v>
      </c>
      <c r="L157">
        <f>IF(ISBLANK('Original Dataset'!L157),$Z$3,'Original Dataset'!L157)</f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f>IF(ISBLANK('Original Dataset'!J158),$Z$2,'Original Dataset'!J158)</f>
        <v>3.08</v>
      </c>
      <c r="K158">
        <v>0</v>
      </c>
      <c r="L158">
        <f>IF(ISBLANK('Original Dataset'!L158),$Z$3,'Original Dataset'!L158)</f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f>IF(ISBLANK('Original Dataset'!J159),$Z$2,'Original Dataset'!J159)</f>
        <v>7.99</v>
      </c>
      <c r="K159">
        <v>0</v>
      </c>
      <c r="L159">
        <f>IF(ISBLANK('Original Dataset'!L159),$Z$3,'Original Dataset'!L159)</f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f>IF(ISBLANK('Original Dataset'!J160),$Z$2,'Original Dataset'!J160)</f>
        <v>0.2</v>
      </c>
      <c r="K160">
        <v>0</v>
      </c>
      <c r="L160">
        <f>IF(ISBLANK('Original Dataset'!L160),$Z$3,'Original Dataset'!L160)</f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f>IF(ISBLANK('Original Dataset'!J161),$Z$2,'Original Dataset'!J161)</f>
        <v>5.46</v>
      </c>
      <c r="K161">
        <v>0</v>
      </c>
      <c r="L161">
        <f>IF(ISBLANK('Original Dataset'!L161),$Z$3,'Original Dataset'!L161)</f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f>IF(ISBLANK('Original Dataset'!J162),$Z$2,'Original Dataset'!J162)</f>
        <v>4.05</v>
      </c>
      <c r="K162">
        <v>0</v>
      </c>
      <c r="L162">
        <f>IF(ISBLANK('Original Dataset'!L162),$Z$3,'Original Dataset'!L162)</f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f>IF(ISBLANK('Original Dataset'!J163),$Z$2,'Original Dataset'!J163)</f>
        <v>4.3600000000000003</v>
      </c>
      <c r="K163">
        <v>0</v>
      </c>
      <c r="L163">
        <f>IF(ISBLANK('Original Dataset'!L163),$Z$3,'Original Dataset'!L163)</f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f>IF(ISBLANK('Original Dataset'!J164),$Z$2,'Original Dataset'!J164)</f>
        <v>3.3650000000000002</v>
      </c>
      <c r="K164">
        <v>0</v>
      </c>
      <c r="L164">
        <f>IF(ISBLANK('Original Dataset'!L164),$Z$3,'Original Dataset'!L164)</f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f>IF(ISBLANK('Original Dataset'!J165),$Z$2,'Original Dataset'!J165)</f>
        <v>0.54</v>
      </c>
      <c r="K165">
        <v>0</v>
      </c>
      <c r="L165">
        <f>IF(ISBLANK('Original Dataset'!L165),$Z$3,'Original Dataset'!L165)</f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f>IF(ISBLANK('Original Dataset'!J166),$Z$2,'Original Dataset'!J166)</f>
        <v>11.37</v>
      </c>
      <c r="K166">
        <v>1</v>
      </c>
      <c r="L166">
        <f>IF(ISBLANK('Original Dataset'!L166),$Z$3,'Original Dataset'!L166)</f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f>IF(ISBLANK('Original Dataset'!J167),$Z$2,'Original Dataset'!J167)</f>
        <v>9.43</v>
      </c>
      <c r="K167">
        <v>0</v>
      </c>
      <c r="L167">
        <f>IF(ISBLANK('Original Dataset'!L167),$Z$3,'Original Dataset'!L167)</f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f>IF(ISBLANK('Original Dataset'!J168),$Z$2,'Original Dataset'!J168)</f>
        <v>3.49</v>
      </c>
      <c r="K168">
        <v>0</v>
      </c>
      <c r="L168">
        <f>IF(ISBLANK('Original Dataset'!L168),$Z$3,'Original Dataset'!L168)</f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f>IF(ISBLANK('Original Dataset'!J169),$Z$2,'Original Dataset'!J169)</f>
        <v>7.86</v>
      </c>
      <c r="K169">
        <v>0</v>
      </c>
      <c r="L169">
        <f>IF(ISBLANK('Original Dataset'!L169),$Z$3,'Original Dataset'!L169)</f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f>IF(ISBLANK('Original Dataset'!J170),$Z$2,'Original Dataset'!J170)</f>
        <v>12.55</v>
      </c>
      <c r="K170">
        <v>0</v>
      </c>
      <c r="L170">
        <f>IF(ISBLANK('Original Dataset'!L170),$Z$3,'Original Dataset'!L170)</f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f>IF(ISBLANK('Original Dataset'!J171),$Z$2,'Original Dataset'!J171)</f>
        <v>3.48</v>
      </c>
      <c r="K171">
        <v>0</v>
      </c>
      <c r="L171">
        <f>IF(ISBLANK('Original Dataset'!L171),$Z$3,'Original Dataset'!L171)</f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f>IF(ISBLANK('Original Dataset'!J172),$Z$2,'Original Dataset'!J172)</f>
        <v>7.73</v>
      </c>
      <c r="K172">
        <v>0</v>
      </c>
      <c r="L172">
        <f>IF(ISBLANK('Original Dataset'!L172),$Z$3,'Original Dataset'!L172)</f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f>IF(ISBLANK('Original Dataset'!J173),$Z$2,'Original Dataset'!J173)</f>
        <v>0.25</v>
      </c>
      <c r="K173">
        <v>0</v>
      </c>
      <c r="L173">
        <f>IF(ISBLANK('Original Dataset'!L173),$Z$3,'Original Dataset'!L173)</f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f>IF(ISBLANK('Original Dataset'!J174),$Z$2,'Original Dataset'!J174)</f>
        <v>6.43</v>
      </c>
      <c r="K174">
        <v>0</v>
      </c>
      <c r="L174">
        <f>IF(ISBLANK('Original Dataset'!L174),$Z$3,'Original Dataset'!L174)</f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f>IF(ISBLANK('Original Dataset'!J175),$Z$2,'Original Dataset'!J175)</f>
        <v>2.11</v>
      </c>
      <c r="K175">
        <v>0</v>
      </c>
      <c r="L175">
        <f>IF(ISBLANK('Original Dataset'!L175),$Z$3,'Original Dataset'!L175)</f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f>IF(ISBLANK('Original Dataset'!J176),$Z$2,'Original Dataset'!J176)</f>
        <v>9.1199999999999992</v>
      </c>
      <c r="K176">
        <v>0</v>
      </c>
      <c r="L176">
        <f>IF(ISBLANK('Original Dataset'!L176),$Z$3,'Original Dataset'!L176)</f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f>IF(ISBLANK('Original Dataset'!J177),$Z$2,'Original Dataset'!J177)</f>
        <v>2.71</v>
      </c>
      <c r="K177">
        <v>0</v>
      </c>
      <c r="L177">
        <f>IF(ISBLANK('Original Dataset'!L177),$Z$3,'Original Dataset'!L177)</f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f>IF(ISBLANK('Original Dataset'!J178),$Z$2,'Original Dataset'!J178)</f>
        <v>3.65</v>
      </c>
      <c r="K178">
        <v>1</v>
      </c>
      <c r="L178">
        <f>IF(ISBLANK('Original Dataset'!L178),$Z$3,'Original Dataset'!L178)</f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f>IF(ISBLANK('Original Dataset'!J179),$Z$2,'Original Dataset'!J179)</f>
        <v>7.86</v>
      </c>
      <c r="K179">
        <v>0</v>
      </c>
      <c r="L179">
        <f>IF(ISBLANK('Original Dataset'!L179),$Z$3,'Original Dataset'!L179)</f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f>IF(ISBLANK('Original Dataset'!J180),$Z$2,'Original Dataset'!J180)</f>
        <v>0.3</v>
      </c>
      <c r="K180">
        <v>0</v>
      </c>
      <c r="L180">
        <f>IF(ISBLANK('Original Dataset'!L180),$Z$3,'Original Dataset'!L180)</f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f>IF(ISBLANK('Original Dataset'!J181),$Z$2,'Original Dataset'!J181)</f>
        <v>8.44</v>
      </c>
      <c r="K181">
        <v>0</v>
      </c>
      <c r="L181">
        <f>IF(ISBLANK('Original Dataset'!L181),$Z$3,'Original Dataset'!L181)</f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f>IF(ISBLANK('Original Dataset'!J182),$Z$2,'Original Dataset'!J182)</f>
        <v>5.27</v>
      </c>
      <c r="K182">
        <v>1</v>
      </c>
      <c r="L182">
        <f>IF(ISBLANK('Original Dataset'!L182),$Z$3,'Original Dataset'!L182)</f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f>IF(ISBLANK('Original Dataset'!J183),$Z$2,'Original Dataset'!J183)</f>
        <v>13.22</v>
      </c>
      <c r="K183">
        <v>0</v>
      </c>
      <c r="L183">
        <f>IF(ISBLANK('Original Dataset'!L183),$Z$3,'Original Dataset'!L183)</f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f>IF(ISBLANK('Original Dataset'!J184),$Z$2,'Original Dataset'!J184)</f>
        <v>1.02</v>
      </c>
      <c r="K184">
        <v>1</v>
      </c>
      <c r="L184">
        <f>IF(ISBLANK('Original Dataset'!L184),$Z$3,'Original Dataset'!L184)</f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f>IF(ISBLANK('Original Dataset'!J185),$Z$2,'Original Dataset'!J185)</f>
        <v>4.03</v>
      </c>
      <c r="K185">
        <v>0</v>
      </c>
      <c r="L185">
        <f>IF(ISBLANK('Original Dataset'!L185),$Z$3,'Original Dataset'!L185)</f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f>IF(ISBLANK('Original Dataset'!J186),$Z$2,'Original Dataset'!J186)</f>
        <v>2.34</v>
      </c>
      <c r="K186">
        <v>0</v>
      </c>
      <c r="L186">
        <f>IF(ISBLANK('Original Dataset'!L186),$Z$3,'Original Dataset'!L186)</f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f>IF(ISBLANK('Original Dataset'!J187),$Z$2,'Original Dataset'!J187)</f>
        <v>8.51</v>
      </c>
      <c r="K187">
        <v>0</v>
      </c>
      <c r="L187">
        <f>IF(ISBLANK('Original Dataset'!L187),$Z$3,'Original Dataset'!L187)</f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f>IF(ISBLANK('Original Dataset'!J188),$Z$2,'Original Dataset'!J188)</f>
        <v>0.48</v>
      </c>
      <c r="K188">
        <v>1</v>
      </c>
      <c r="L188">
        <f>IF(ISBLANK('Original Dataset'!L188),$Z$3,'Original Dataset'!L188)</f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f>IF(ISBLANK('Original Dataset'!J189),$Z$2,'Original Dataset'!J189)</f>
        <v>13.62</v>
      </c>
      <c r="K189">
        <v>0</v>
      </c>
      <c r="L189">
        <f>IF(ISBLANK('Original Dataset'!L189),$Z$3,'Original Dataset'!L189)</f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f>IF(ISBLANK('Original Dataset'!J190),$Z$2,'Original Dataset'!J190)</f>
        <v>7.77</v>
      </c>
      <c r="K190">
        <v>0</v>
      </c>
      <c r="L190">
        <f>IF(ISBLANK('Original Dataset'!L190),$Z$3,'Original Dataset'!L190)</f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f>IF(ISBLANK('Original Dataset'!J191),$Z$2,'Original Dataset'!J191)</f>
        <v>1.99</v>
      </c>
      <c r="K191">
        <v>0</v>
      </c>
      <c r="L191">
        <f>IF(ISBLANK('Original Dataset'!L191),$Z$3,'Original Dataset'!L191)</f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f>IF(ISBLANK('Original Dataset'!J192),$Z$2,'Original Dataset'!J192)</f>
        <v>4.7699999999999996</v>
      </c>
      <c r="K192">
        <v>0</v>
      </c>
      <c r="L192">
        <f>IF(ISBLANK('Original Dataset'!L192),$Z$3,'Original Dataset'!L192)</f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f>IF(ISBLANK('Original Dataset'!J193),$Z$2,'Original Dataset'!J193)</f>
        <v>0.2</v>
      </c>
      <c r="K193">
        <v>0</v>
      </c>
      <c r="L193">
        <f>IF(ISBLANK('Original Dataset'!L193),$Z$3,'Original Dataset'!L193)</f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f>IF(ISBLANK('Original Dataset'!J194),$Z$2,'Original Dataset'!J194)</f>
        <v>0.53</v>
      </c>
      <c r="K194">
        <v>0</v>
      </c>
      <c r="L194">
        <f>IF(ISBLANK('Original Dataset'!L194),$Z$3,'Original Dataset'!L194)</f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f>IF(ISBLANK('Original Dataset'!J195),$Z$2,'Original Dataset'!J195)</f>
        <v>1.54</v>
      </c>
      <c r="K195">
        <v>0</v>
      </c>
      <c r="L195">
        <f>IF(ISBLANK('Original Dataset'!L195),$Z$3,'Original Dataset'!L195)</f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f>IF(ISBLANK('Original Dataset'!J196),$Z$2,'Original Dataset'!J196)</f>
        <v>3.63</v>
      </c>
      <c r="K196">
        <v>0</v>
      </c>
      <c r="L196">
        <f>IF(ISBLANK('Original Dataset'!L196),$Z$3,'Original Dataset'!L196)</f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f>IF(ISBLANK('Original Dataset'!J197),$Z$2,'Original Dataset'!J197)</f>
        <v>13.48</v>
      </c>
      <c r="K197">
        <v>0</v>
      </c>
      <c r="L197" s="4">
        <f>IF(ISBLANK('Original Dataset'!L197),$Z$3,'Original Dataset'!L197)</f>
        <v>3.9246794871794881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f>IF(ISBLANK('Original Dataset'!J198),$Z$2,'Original Dataset'!J198)</f>
        <v>0.2</v>
      </c>
      <c r="K198">
        <v>0</v>
      </c>
      <c r="L198">
        <f>IF(ISBLANK('Original Dataset'!L198),$Z$3,'Original Dataset'!L198)</f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f>IF(ISBLANK('Original Dataset'!J199),$Z$2,'Original Dataset'!J199)</f>
        <v>12.82</v>
      </c>
      <c r="K199">
        <v>0</v>
      </c>
      <c r="L199">
        <f>IF(ISBLANK('Original Dataset'!L199),$Z$3,'Original Dataset'!L199)</f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f>IF(ISBLANK('Original Dataset'!J200),$Z$2,'Original Dataset'!J200)</f>
        <v>2.2400000000000002</v>
      </c>
      <c r="K200">
        <v>1</v>
      </c>
      <c r="L200">
        <f>IF(ISBLANK('Original Dataset'!L200),$Z$3,'Original Dataset'!L200)</f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f>IF(ISBLANK('Original Dataset'!J201),$Z$2,'Original Dataset'!J201)</f>
        <v>1.8</v>
      </c>
      <c r="K201">
        <v>0</v>
      </c>
      <c r="L201">
        <f>IF(ISBLANK('Original Dataset'!L201),$Z$3,'Original Dataset'!L201)</f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f>IF(ISBLANK('Original Dataset'!J202),$Z$2,'Original Dataset'!J202)</f>
        <v>0.41</v>
      </c>
      <c r="K202">
        <v>1</v>
      </c>
      <c r="L202">
        <f>IF(ISBLANK('Original Dataset'!L202),$Z$3,'Original Dataset'!L202)</f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f>IF(ISBLANK('Original Dataset'!J203),$Z$2,'Original Dataset'!J203)</f>
        <v>3.05</v>
      </c>
      <c r="K203">
        <v>0</v>
      </c>
      <c r="L203">
        <f>IF(ISBLANK('Original Dataset'!L203),$Z$3,'Original Dataset'!L203)</f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f>IF(ISBLANK('Original Dataset'!J204),$Z$2,'Original Dataset'!J204)</f>
        <v>8.44</v>
      </c>
      <c r="K204">
        <v>1</v>
      </c>
      <c r="L204">
        <f>IF(ISBLANK('Original Dataset'!L204),$Z$3,'Original Dataset'!L204)</f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f>IF(ISBLANK('Original Dataset'!J205),$Z$2,'Original Dataset'!J205)</f>
        <v>0.78</v>
      </c>
      <c r="K205">
        <v>0</v>
      </c>
      <c r="L205">
        <f>IF(ISBLANK('Original Dataset'!L205),$Z$3,'Original Dataset'!L205)</f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f>IF(ISBLANK('Original Dataset'!J206),$Z$2,'Original Dataset'!J206)</f>
        <v>0.87</v>
      </c>
      <c r="K206">
        <v>0</v>
      </c>
      <c r="L206">
        <f>IF(ISBLANK('Original Dataset'!L206),$Z$3,'Original Dataset'!L206)</f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f>IF(ISBLANK('Original Dataset'!J207),$Z$2,'Original Dataset'!J207)</f>
        <v>0.95</v>
      </c>
      <c r="K207">
        <v>0</v>
      </c>
      <c r="L207">
        <f>IF(ISBLANK('Original Dataset'!L207),$Z$3,'Original Dataset'!L207)</f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f>IF(ISBLANK('Original Dataset'!J208),$Z$2,'Original Dataset'!J208)</f>
        <v>3.82</v>
      </c>
      <c r="K208">
        <v>0</v>
      </c>
      <c r="L208">
        <f>IF(ISBLANK('Original Dataset'!L208),$Z$3,'Original Dataset'!L208)</f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f>IF(ISBLANK('Original Dataset'!J209),$Z$2,'Original Dataset'!J209)</f>
        <v>2.7</v>
      </c>
      <c r="K209">
        <v>0</v>
      </c>
      <c r="L209">
        <f>IF(ISBLANK('Original Dataset'!L209),$Z$3,'Original Dataset'!L209)</f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f>IF(ISBLANK('Original Dataset'!J210),$Z$2,'Original Dataset'!J210)</f>
        <v>3.84</v>
      </c>
      <c r="K210">
        <v>1</v>
      </c>
      <c r="L210">
        <f>IF(ISBLANK('Original Dataset'!L210),$Z$3,'Original Dataset'!L210)</f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f>IF(ISBLANK('Original Dataset'!J211),$Z$2,'Original Dataset'!J211)</f>
        <v>5.09</v>
      </c>
      <c r="K211">
        <v>0</v>
      </c>
      <c r="L211">
        <f>IF(ISBLANK('Original Dataset'!L211),$Z$3,'Original Dataset'!L211)</f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f>IF(ISBLANK('Original Dataset'!J212),$Z$2,'Original Dataset'!J212)</f>
        <v>3.82</v>
      </c>
      <c r="K212">
        <v>1</v>
      </c>
      <c r="L212">
        <f>IF(ISBLANK('Original Dataset'!L212),$Z$3,'Original Dataset'!L212)</f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f>IF(ISBLANK('Original Dataset'!J213),$Z$2,'Original Dataset'!J213)</f>
        <v>12.28</v>
      </c>
      <c r="K213">
        <v>0</v>
      </c>
      <c r="L213">
        <f>IF(ISBLANK('Original Dataset'!L213),$Z$3,'Original Dataset'!L213)</f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f>IF(ISBLANK('Original Dataset'!J214),$Z$2,'Original Dataset'!J214)</f>
        <v>2.8</v>
      </c>
      <c r="K214">
        <v>0</v>
      </c>
      <c r="L214">
        <f>IF(ISBLANK('Original Dataset'!L214),$Z$3,'Original Dataset'!L214)</f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f>IF(ISBLANK('Original Dataset'!J215),$Z$2,'Original Dataset'!J215)</f>
        <v>3.67</v>
      </c>
      <c r="K215">
        <v>0</v>
      </c>
      <c r="L215">
        <f>IF(ISBLANK('Original Dataset'!L215),$Z$3,'Original Dataset'!L215)</f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f>IF(ISBLANK('Original Dataset'!J216),$Z$2,'Original Dataset'!J216)</f>
        <v>2.81</v>
      </c>
      <c r="K216">
        <v>0</v>
      </c>
      <c r="L216">
        <f>IF(ISBLANK('Original Dataset'!L216),$Z$3,'Original Dataset'!L216)</f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f>IF(ISBLANK('Original Dataset'!J217),$Z$2,'Original Dataset'!J217)</f>
        <v>2.44</v>
      </c>
      <c r="K217">
        <v>0</v>
      </c>
      <c r="L217">
        <f>IF(ISBLANK('Original Dataset'!L217),$Z$3,'Original Dataset'!L217)</f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f>IF(ISBLANK('Original Dataset'!J218),$Z$2,'Original Dataset'!J218)</f>
        <v>3.27</v>
      </c>
      <c r="K218">
        <v>0</v>
      </c>
      <c r="L218">
        <f>IF(ISBLANK('Original Dataset'!L218),$Z$3,'Original Dataset'!L218)</f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f>IF(ISBLANK('Original Dataset'!J219),$Z$2,'Original Dataset'!J219)</f>
        <v>10.34</v>
      </c>
      <c r="K219">
        <v>0</v>
      </c>
      <c r="L219">
        <f>IF(ISBLANK('Original Dataset'!L219),$Z$3,'Original Dataset'!L219)</f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f>IF(ISBLANK('Original Dataset'!J220),$Z$2,'Original Dataset'!J220)</f>
        <v>1.92</v>
      </c>
      <c r="K220">
        <v>0</v>
      </c>
      <c r="L220">
        <f>IF(ISBLANK('Original Dataset'!L220),$Z$3,'Original Dataset'!L220)</f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f>IF(ISBLANK('Original Dataset'!J221),$Z$2,'Original Dataset'!J221)</f>
        <v>3.1</v>
      </c>
      <c r="K221">
        <v>0</v>
      </c>
      <c r="L221">
        <f>IF(ISBLANK('Original Dataset'!L221),$Z$3,'Original Dataset'!L221)</f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f>IF(ISBLANK('Original Dataset'!J222),$Z$2,'Original Dataset'!J222)</f>
        <v>6.34</v>
      </c>
      <c r="K222">
        <v>1</v>
      </c>
      <c r="L222">
        <f>IF(ISBLANK('Original Dataset'!L222),$Z$3,'Original Dataset'!L222)</f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f>IF(ISBLANK('Original Dataset'!J223),$Z$2,'Original Dataset'!J223)</f>
        <v>1.2</v>
      </c>
      <c r="K223">
        <v>0</v>
      </c>
      <c r="L223">
        <f>IF(ISBLANK('Original Dataset'!L223),$Z$3,'Original Dataset'!L223)</f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f>IF(ISBLANK('Original Dataset'!J224),$Z$2,'Original Dataset'!J224)</f>
        <v>4.5</v>
      </c>
      <c r="K224">
        <v>0</v>
      </c>
      <c r="L224">
        <f>IF(ISBLANK('Original Dataset'!L224),$Z$3,'Original Dataset'!L224)</f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f>IF(ISBLANK('Original Dataset'!J225),$Z$2,'Original Dataset'!J225)</f>
        <v>6.68</v>
      </c>
      <c r="K225">
        <v>0</v>
      </c>
      <c r="L225">
        <f>IF(ISBLANK('Original Dataset'!L225),$Z$3,'Original Dataset'!L225)</f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f>IF(ISBLANK('Original Dataset'!J226),$Z$2,'Original Dataset'!J226)</f>
        <v>4.07</v>
      </c>
      <c r="K226">
        <v>1</v>
      </c>
      <c r="L226">
        <f>IF(ISBLANK('Original Dataset'!L226),$Z$3,'Original Dataset'!L226)</f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f>IF(ISBLANK('Original Dataset'!J227),$Z$2,'Original Dataset'!J227)</f>
        <v>5.45</v>
      </c>
      <c r="K227">
        <v>0</v>
      </c>
      <c r="L227">
        <f>IF(ISBLANK('Original Dataset'!L227),$Z$3,'Original Dataset'!L227)</f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f>IF(ISBLANK('Original Dataset'!J228),$Z$2,'Original Dataset'!J228)</f>
        <v>15.58</v>
      </c>
      <c r="K228">
        <v>0</v>
      </c>
      <c r="L228">
        <f>IF(ISBLANK('Original Dataset'!L228),$Z$3,'Original Dataset'!L228)</f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f>IF(ISBLANK('Original Dataset'!J229),$Z$2,'Original Dataset'!J229)</f>
        <v>5.32</v>
      </c>
      <c r="K229">
        <v>0</v>
      </c>
      <c r="L229" s="4">
        <f>IF(ISBLANK('Original Dataset'!L229),$Z$3,'Original Dataset'!L229)</f>
        <v>3.9246794871794881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f>IF(ISBLANK('Original Dataset'!J230),$Z$2,'Original Dataset'!J230)</f>
        <v>0.37</v>
      </c>
      <c r="K230">
        <v>0</v>
      </c>
      <c r="L230">
        <f>IF(ISBLANK('Original Dataset'!L230),$Z$3,'Original Dataset'!L230)</f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f>IF(ISBLANK('Original Dataset'!J231),$Z$2,'Original Dataset'!J231)</f>
        <v>21.63</v>
      </c>
      <c r="K231">
        <v>0</v>
      </c>
      <c r="L231">
        <f>IF(ISBLANK('Original Dataset'!L231),$Z$3,'Original Dataset'!L231)</f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f>IF(ISBLANK('Original Dataset'!J232),$Z$2,'Original Dataset'!J232)</f>
        <v>2.48</v>
      </c>
      <c r="K232">
        <v>0</v>
      </c>
      <c r="L232">
        <f>IF(ISBLANK('Original Dataset'!L232),$Z$3,'Original Dataset'!L232)</f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f>IF(ISBLANK('Original Dataset'!J233),$Z$2,'Original Dataset'!J233)</f>
        <v>3.3650000000000002</v>
      </c>
      <c r="K233">
        <v>0</v>
      </c>
      <c r="L233">
        <f>IF(ISBLANK('Original Dataset'!L233),$Z$3,'Original Dataset'!L233)</f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f>IF(ISBLANK('Original Dataset'!J234),$Z$2,'Original Dataset'!J234)</f>
        <v>0.85</v>
      </c>
      <c r="K234">
        <v>0</v>
      </c>
      <c r="L234">
        <f>IF(ISBLANK('Original Dataset'!L234),$Z$3,'Original Dataset'!L234)</f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f>IF(ISBLANK('Original Dataset'!J235),$Z$2,'Original Dataset'!J235)</f>
        <v>2.13</v>
      </c>
      <c r="K235">
        <v>0</v>
      </c>
      <c r="L235">
        <f>IF(ISBLANK('Original Dataset'!L235),$Z$3,'Original Dataset'!L235)</f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f>IF(ISBLANK('Original Dataset'!J236),$Z$2,'Original Dataset'!J236)</f>
        <v>1.46</v>
      </c>
      <c r="K236">
        <v>0</v>
      </c>
      <c r="L236">
        <f>IF(ISBLANK('Original Dataset'!L236),$Z$3,'Original Dataset'!L236)</f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f>IF(ISBLANK('Original Dataset'!J237),$Z$2,'Original Dataset'!J237)</f>
        <v>3.02</v>
      </c>
      <c r="K237">
        <v>0</v>
      </c>
      <c r="L237">
        <f>IF(ISBLANK('Original Dataset'!L237),$Z$3,'Original Dataset'!L237)</f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f>IF(ISBLANK('Original Dataset'!J238),$Z$2,'Original Dataset'!J238)</f>
        <v>3.22</v>
      </c>
      <c r="K238">
        <v>0</v>
      </c>
      <c r="L238">
        <f>IF(ISBLANK('Original Dataset'!L238),$Z$3,'Original Dataset'!L238)</f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f>IF(ISBLANK('Original Dataset'!J239),$Z$2,'Original Dataset'!J239)</f>
        <v>15.66</v>
      </c>
      <c r="K239">
        <v>0</v>
      </c>
      <c r="L239">
        <f>IF(ISBLANK('Original Dataset'!L239),$Z$3,'Original Dataset'!L239)</f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f>IF(ISBLANK('Original Dataset'!J240),$Z$2,'Original Dataset'!J240)</f>
        <v>6.96</v>
      </c>
      <c r="K240">
        <v>0</v>
      </c>
      <c r="L240">
        <f>IF(ISBLANK('Original Dataset'!L240),$Z$3,'Original Dataset'!L240)</f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f>IF(ISBLANK('Original Dataset'!J241),$Z$2,'Original Dataset'!J241)</f>
        <v>4.62</v>
      </c>
      <c r="K241">
        <v>0</v>
      </c>
      <c r="L241">
        <f>IF(ISBLANK('Original Dataset'!L241),$Z$3,'Original Dataset'!L241)</f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f>IF(ISBLANK('Original Dataset'!J242),$Z$2,'Original Dataset'!J242)</f>
        <v>10.68</v>
      </c>
      <c r="K242">
        <v>1</v>
      </c>
      <c r="L242">
        <f>IF(ISBLANK('Original Dataset'!L242),$Z$3,'Original Dataset'!L242)</f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f>IF(ISBLANK('Original Dataset'!J243),$Z$2,'Original Dataset'!J243)</f>
        <v>4.04</v>
      </c>
      <c r="K243">
        <v>0</v>
      </c>
      <c r="L243">
        <f>IF(ISBLANK('Original Dataset'!L243),$Z$3,'Original Dataset'!L243)</f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f>IF(ISBLANK('Original Dataset'!J244),$Z$2,'Original Dataset'!J244)</f>
        <v>1.87</v>
      </c>
      <c r="K244">
        <v>0</v>
      </c>
      <c r="L244">
        <f>IF(ISBLANK('Original Dataset'!L244),$Z$3,'Original Dataset'!L244)</f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f>IF(ISBLANK('Original Dataset'!J245),$Z$2,'Original Dataset'!J245)</f>
        <v>2.83</v>
      </c>
      <c r="K245">
        <v>0</v>
      </c>
      <c r="L245">
        <f>IF(ISBLANK('Original Dataset'!L245),$Z$3,'Original Dataset'!L245)</f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f>IF(ISBLANK('Original Dataset'!J246),$Z$2,'Original Dataset'!J246)</f>
        <v>0.95</v>
      </c>
      <c r="K246">
        <v>0</v>
      </c>
      <c r="L246">
        <f>IF(ISBLANK('Original Dataset'!L246),$Z$3,'Original Dataset'!L246)</f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f>IF(ISBLANK('Original Dataset'!J247),$Z$2,'Original Dataset'!J247)</f>
        <v>0.8</v>
      </c>
      <c r="K247">
        <v>0</v>
      </c>
      <c r="L247">
        <f>IF(ISBLANK('Original Dataset'!L247),$Z$3,'Original Dataset'!L247)</f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f>IF(ISBLANK('Original Dataset'!J248),$Z$2,'Original Dataset'!J248)</f>
        <v>0.2</v>
      </c>
      <c r="K248">
        <v>0</v>
      </c>
      <c r="L248">
        <f>IF(ISBLANK('Original Dataset'!L248),$Z$3,'Original Dataset'!L248)</f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f>IF(ISBLANK('Original Dataset'!J249),$Z$2,'Original Dataset'!J249)</f>
        <v>1.7</v>
      </c>
      <c r="K249">
        <v>0</v>
      </c>
      <c r="L249">
        <f>IF(ISBLANK('Original Dataset'!L249),$Z$3,'Original Dataset'!L249)</f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f>IF(ISBLANK('Original Dataset'!J250),$Z$2,'Original Dataset'!J250)</f>
        <v>3.3650000000000002</v>
      </c>
      <c r="K250">
        <v>0</v>
      </c>
      <c r="L250">
        <f>IF(ISBLANK('Original Dataset'!L250),$Z$3,'Original Dataset'!L250)</f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f>IF(ISBLANK('Original Dataset'!J251),$Z$2,'Original Dataset'!J251)</f>
        <v>5.0999999999999996</v>
      </c>
      <c r="K251">
        <v>0</v>
      </c>
      <c r="L251">
        <f>IF(ISBLANK('Original Dataset'!L251),$Z$3,'Original Dataset'!L251)</f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f>IF(ISBLANK('Original Dataset'!J252),$Z$2,'Original Dataset'!J252)</f>
        <v>0.83</v>
      </c>
      <c r="K252">
        <v>0</v>
      </c>
      <c r="L252">
        <f>IF(ISBLANK('Original Dataset'!L252),$Z$3,'Original Dataset'!L252)</f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f>IF(ISBLANK('Original Dataset'!J253),$Z$2,'Original Dataset'!J253)</f>
        <v>1.1399999999999999</v>
      </c>
      <c r="K253">
        <v>0</v>
      </c>
      <c r="L253">
        <f>IF(ISBLANK('Original Dataset'!L253),$Z$3,'Original Dataset'!L253)</f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f>IF(ISBLANK('Original Dataset'!J254),$Z$2,'Original Dataset'!J254)</f>
        <v>9.5399999999999991</v>
      </c>
      <c r="K254">
        <v>0</v>
      </c>
      <c r="L254">
        <f>IF(ISBLANK('Original Dataset'!L254),$Z$3,'Original Dataset'!L254)</f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f>IF(ISBLANK('Original Dataset'!J255),$Z$2,'Original Dataset'!J255)</f>
        <v>5.48</v>
      </c>
      <c r="K255">
        <v>0</v>
      </c>
      <c r="L255">
        <f>IF(ISBLANK('Original Dataset'!L255),$Z$3,'Original Dataset'!L255)</f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f>IF(ISBLANK('Original Dataset'!J256),$Z$2,'Original Dataset'!J256)</f>
        <v>0.84</v>
      </c>
      <c r="K256">
        <v>0</v>
      </c>
      <c r="L256">
        <f>IF(ISBLANK('Original Dataset'!L256),$Z$3,'Original Dataset'!L256)</f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f>IF(ISBLANK('Original Dataset'!J257),$Z$2,'Original Dataset'!J257)</f>
        <v>4.1900000000000004</v>
      </c>
      <c r="K257">
        <v>0</v>
      </c>
      <c r="L257">
        <f>IF(ISBLANK('Original Dataset'!L257),$Z$3,'Original Dataset'!L257)</f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f>IF(ISBLANK('Original Dataset'!J258),$Z$2,'Original Dataset'!J258)</f>
        <v>1.26</v>
      </c>
      <c r="K258">
        <v>1</v>
      </c>
      <c r="L258">
        <f>IF(ISBLANK('Original Dataset'!L258),$Z$3,'Original Dataset'!L258)</f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f>IF(ISBLANK('Original Dataset'!J259),$Z$2,'Original Dataset'!J259)</f>
        <v>2.74</v>
      </c>
      <c r="K259">
        <v>0</v>
      </c>
      <c r="L259">
        <f>IF(ISBLANK('Original Dataset'!L259),$Z$3,'Original Dataset'!L259)</f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f>IF(ISBLANK('Original Dataset'!J260),$Z$2,'Original Dataset'!J260)</f>
        <v>3.69</v>
      </c>
      <c r="K260">
        <v>0</v>
      </c>
      <c r="L260">
        <f>IF(ISBLANK('Original Dataset'!L260),$Z$3,'Original Dataset'!L260)</f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f>IF(ISBLANK('Original Dataset'!J261),$Z$2,'Original Dataset'!J261)</f>
        <v>1.82</v>
      </c>
      <c r="K261">
        <v>0</v>
      </c>
      <c r="L261">
        <f>IF(ISBLANK('Original Dataset'!L261),$Z$3,'Original Dataset'!L261)</f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f>IF(ISBLANK('Original Dataset'!J262),$Z$2,'Original Dataset'!J262)</f>
        <v>6.62</v>
      </c>
      <c r="K262">
        <v>0</v>
      </c>
      <c r="L262">
        <f>IF(ISBLANK('Original Dataset'!L262),$Z$3,'Original Dataset'!L262)</f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f>IF(ISBLANK('Original Dataset'!J263),$Z$2,'Original Dataset'!J263)</f>
        <v>3.3650000000000002</v>
      </c>
      <c r="K263">
        <v>0</v>
      </c>
      <c r="L263">
        <f>IF(ISBLANK('Original Dataset'!L263),$Z$3,'Original Dataset'!L263)</f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f>IF(ISBLANK('Original Dataset'!J264),$Z$2,'Original Dataset'!J264)</f>
        <v>6.92</v>
      </c>
      <c r="K264">
        <v>1</v>
      </c>
      <c r="L264">
        <f>IF(ISBLANK('Original Dataset'!L264),$Z$3,'Original Dataset'!L264)</f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f>IF(ISBLANK('Original Dataset'!J265),$Z$2,'Original Dataset'!J265)</f>
        <v>11.78</v>
      </c>
      <c r="K265">
        <v>0</v>
      </c>
      <c r="L265">
        <f>IF(ISBLANK('Original Dataset'!L265),$Z$3,'Original Dataset'!L265)</f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f>IF(ISBLANK('Original Dataset'!J266),$Z$2,'Original Dataset'!J266)</f>
        <v>0.5</v>
      </c>
      <c r="K266">
        <v>0</v>
      </c>
      <c r="L266">
        <f>IF(ISBLANK('Original Dataset'!L266),$Z$3,'Original Dataset'!L266)</f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f>IF(ISBLANK('Original Dataset'!J267),$Z$2,'Original Dataset'!J267)</f>
        <v>0.88</v>
      </c>
      <c r="K267">
        <v>0</v>
      </c>
      <c r="L267">
        <f>IF(ISBLANK('Original Dataset'!L267),$Z$3,'Original Dataset'!L267)</f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f>IF(ISBLANK('Original Dataset'!J268),$Z$2,'Original Dataset'!J268)</f>
        <v>2.25</v>
      </c>
      <c r="K268">
        <v>0</v>
      </c>
      <c r="L268">
        <f>IF(ISBLANK('Original Dataset'!L268),$Z$3,'Original Dataset'!L268)</f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f>IF(ISBLANK('Original Dataset'!J269),$Z$2,'Original Dataset'!J269)</f>
        <v>0.28999999999999998</v>
      </c>
      <c r="K269">
        <v>0</v>
      </c>
      <c r="L269">
        <f>IF(ISBLANK('Original Dataset'!L269),$Z$3,'Original Dataset'!L269)</f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f>IF(ISBLANK('Original Dataset'!J270),$Z$2,'Original Dataset'!J270)</f>
        <v>0.65</v>
      </c>
      <c r="K270">
        <v>0</v>
      </c>
      <c r="L270">
        <f>IF(ISBLANK('Original Dataset'!L270),$Z$3,'Original Dataset'!L270)</f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f>IF(ISBLANK('Original Dataset'!J271),$Z$2,'Original Dataset'!J271)</f>
        <v>0.2</v>
      </c>
      <c r="K271">
        <v>0</v>
      </c>
      <c r="L271">
        <f>IF(ISBLANK('Original Dataset'!L271),$Z$3,'Original Dataset'!L271)</f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f>IF(ISBLANK('Original Dataset'!J272),$Z$2,'Original Dataset'!J272)</f>
        <v>3.63</v>
      </c>
      <c r="K272">
        <v>1</v>
      </c>
      <c r="L272">
        <f>IF(ISBLANK('Original Dataset'!L272),$Z$3,'Original Dataset'!L272)</f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f>IF(ISBLANK('Original Dataset'!J273),$Z$2,'Original Dataset'!J273)</f>
        <v>0.2</v>
      </c>
      <c r="K273">
        <v>0</v>
      </c>
      <c r="L273">
        <f>IF(ISBLANK('Original Dataset'!L273),$Z$3,'Original Dataset'!L273)</f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f>IF(ISBLANK('Original Dataset'!J274),$Z$2,'Original Dataset'!J274)</f>
        <v>6.23</v>
      </c>
      <c r="K274">
        <v>0</v>
      </c>
      <c r="L274">
        <f>IF(ISBLANK('Original Dataset'!L274),$Z$3,'Original Dataset'!L274)</f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f>IF(ISBLANK('Original Dataset'!J275),$Z$2,'Original Dataset'!J275)</f>
        <v>1.04</v>
      </c>
      <c r="K275">
        <v>0</v>
      </c>
      <c r="L275">
        <f>IF(ISBLANK('Original Dataset'!L275),$Z$3,'Original Dataset'!L275)</f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f>IF(ISBLANK('Original Dataset'!J276),$Z$2,'Original Dataset'!J276)</f>
        <v>1.76</v>
      </c>
      <c r="K276">
        <v>0</v>
      </c>
      <c r="L276">
        <f>IF(ISBLANK('Original Dataset'!L276),$Z$3,'Original Dataset'!L276)</f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f>IF(ISBLANK('Original Dataset'!J277),$Z$2,'Original Dataset'!J277)</f>
        <v>2.86</v>
      </c>
      <c r="K277">
        <v>0</v>
      </c>
      <c r="L277">
        <f>IF(ISBLANK('Original Dataset'!L277),$Z$3,'Original Dataset'!L277)</f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f>IF(ISBLANK('Original Dataset'!J278),$Z$2,'Original Dataset'!J278)</f>
        <v>18.14</v>
      </c>
      <c r="K278">
        <v>1</v>
      </c>
      <c r="L278">
        <f>IF(ISBLANK('Original Dataset'!L278),$Z$3,'Original Dataset'!L278)</f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f>IF(ISBLANK('Original Dataset'!J279),$Z$2,'Original Dataset'!J279)</f>
        <v>3.39</v>
      </c>
      <c r="K279">
        <v>0</v>
      </c>
      <c r="L279">
        <f>IF(ISBLANK('Original Dataset'!L279),$Z$3,'Original Dataset'!L279)</f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f>IF(ISBLANK('Original Dataset'!J280),$Z$2,'Original Dataset'!J280)</f>
        <v>1.44</v>
      </c>
      <c r="K280">
        <v>0</v>
      </c>
      <c r="L280">
        <f>IF(ISBLANK('Original Dataset'!L280),$Z$3,'Original Dataset'!L280)</f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f>IF(ISBLANK('Original Dataset'!J281),$Z$2,'Original Dataset'!J281)</f>
        <v>3.65</v>
      </c>
      <c r="K281">
        <v>0</v>
      </c>
      <c r="L281">
        <f>IF(ISBLANK('Original Dataset'!L281),$Z$3,'Original Dataset'!L281)</f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f>IF(ISBLANK('Original Dataset'!J282),$Z$2,'Original Dataset'!J282)</f>
        <v>1.23</v>
      </c>
      <c r="K282">
        <v>1</v>
      </c>
      <c r="L282">
        <f>IF(ISBLANK('Original Dataset'!L282),$Z$3,'Original Dataset'!L282)</f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f>IF(ISBLANK('Original Dataset'!J283),$Z$2,'Original Dataset'!J283)</f>
        <v>3.09</v>
      </c>
      <c r="K283">
        <v>0</v>
      </c>
      <c r="L283">
        <f>IF(ISBLANK('Original Dataset'!L283),$Z$3,'Original Dataset'!L283)</f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f>IF(ISBLANK('Original Dataset'!J284),$Z$2,'Original Dataset'!J284)</f>
        <v>3.15</v>
      </c>
      <c r="K284">
        <v>0</v>
      </c>
      <c r="L284">
        <f>IF(ISBLANK('Original Dataset'!L284),$Z$3,'Original Dataset'!L284)</f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f>IF(ISBLANK('Original Dataset'!J285),$Z$2,'Original Dataset'!J285)</f>
        <v>6.44</v>
      </c>
      <c r="K285">
        <v>0</v>
      </c>
      <c r="L285">
        <f>IF(ISBLANK('Original Dataset'!L285),$Z$3,'Original Dataset'!L285)</f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f>IF(ISBLANK('Original Dataset'!J286),$Z$2,'Original Dataset'!J286)</f>
        <v>0.2</v>
      </c>
      <c r="K286">
        <v>1</v>
      </c>
      <c r="L286">
        <f>IF(ISBLANK('Original Dataset'!L286),$Z$3,'Original Dataset'!L286)</f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f>IF(ISBLANK('Original Dataset'!J287),$Z$2,'Original Dataset'!J287)</f>
        <v>0.59</v>
      </c>
      <c r="K287">
        <v>0</v>
      </c>
      <c r="L287">
        <f>IF(ISBLANK('Original Dataset'!L287),$Z$3,'Original Dataset'!L287)</f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f>IF(ISBLANK('Original Dataset'!J288),$Z$2,'Original Dataset'!J288)</f>
        <v>0.2</v>
      </c>
      <c r="K288">
        <v>1</v>
      </c>
      <c r="L288">
        <f>IF(ISBLANK('Original Dataset'!L288),$Z$3,'Original Dataset'!L288)</f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f>IF(ISBLANK('Original Dataset'!J289),$Z$2,'Original Dataset'!J289)</f>
        <v>1.36</v>
      </c>
      <c r="K289">
        <v>0</v>
      </c>
      <c r="L289">
        <f>IF(ISBLANK('Original Dataset'!L289),$Z$3,'Original Dataset'!L289)</f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f>IF(ISBLANK('Original Dataset'!J290),$Z$2,'Original Dataset'!J290)</f>
        <v>3.34</v>
      </c>
      <c r="K290">
        <v>0</v>
      </c>
      <c r="L290">
        <f>IF(ISBLANK('Original Dataset'!L290),$Z$3,'Original Dataset'!L290)</f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f>IF(ISBLANK('Original Dataset'!J291),$Z$2,'Original Dataset'!J291)</f>
        <v>0.33</v>
      </c>
      <c r="K291">
        <v>0</v>
      </c>
      <c r="L291">
        <f>IF(ISBLANK('Original Dataset'!L291),$Z$3,'Original Dataset'!L291)</f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f>IF(ISBLANK('Original Dataset'!J292),$Z$2,'Original Dataset'!J292)</f>
        <v>3.44</v>
      </c>
      <c r="K292">
        <v>1</v>
      </c>
      <c r="L292">
        <f>IF(ISBLANK('Original Dataset'!L292),$Z$3,'Original Dataset'!L292)</f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f>IF(ISBLANK('Original Dataset'!J293),$Z$2,'Original Dataset'!J293)</f>
        <v>5.33</v>
      </c>
      <c r="K293">
        <v>0</v>
      </c>
      <c r="L293">
        <f>IF(ISBLANK('Original Dataset'!L293),$Z$3,'Original Dataset'!L293)</f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f>IF(ISBLANK('Original Dataset'!J294),$Z$2,'Original Dataset'!J294)</f>
        <v>6.04</v>
      </c>
      <c r="K294">
        <v>0</v>
      </c>
      <c r="L294">
        <f>IF(ISBLANK('Original Dataset'!L294),$Z$3,'Original Dataset'!L294)</f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f>IF(ISBLANK('Original Dataset'!J295),$Z$2,'Original Dataset'!J295)</f>
        <v>1.6</v>
      </c>
      <c r="K295">
        <v>0</v>
      </c>
      <c r="L295">
        <f>IF(ISBLANK('Original Dataset'!L295),$Z$3,'Original Dataset'!L295)</f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f>IF(ISBLANK('Original Dataset'!J296),$Z$2,'Original Dataset'!J296)</f>
        <v>8.9600000000000009</v>
      </c>
      <c r="K296">
        <v>0</v>
      </c>
      <c r="L296">
        <f>IF(ISBLANK('Original Dataset'!L296),$Z$3,'Original Dataset'!L296)</f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f>IF(ISBLANK('Original Dataset'!J297),$Z$2,'Original Dataset'!J297)</f>
        <v>0.74</v>
      </c>
      <c r="K297">
        <v>0</v>
      </c>
      <c r="L297">
        <f>IF(ISBLANK('Original Dataset'!L297),$Z$3,'Original Dataset'!L297)</f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f>IF(ISBLANK('Original Dataset'!J298),$Z$2,'Original Dataset'!J298)</f>
        <v>6.13</v>
      </c>
      <c r="K298">
        <v>0</v>
      </c>
      <c r="L298">
        <f>IF(ISBLANK('Original Dataset'!L298),$Z$3,'Original Dataset'!L298)</f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f>IF(ISBLANK('Original Dataset'!J299),$Z$2,'Original Dataset'!J299)</f>
        <v>1.41</v>
      </c>
      <c r="K299">
        <v>0</v>
      </c>
      <c r="L299">
        <f>IF(ISBLANK('Original Dataset'!L299),$Z$3,'Original Dataset'!L299)</f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f>IF(ISBLANK('Original Dataset'!J300),$Z$2,'Original Dataset'!J300)</f>
        <v>3.75</v>
      </c>
      <c r="K300">
        <v>0</v>
      </c>
      <c r="L300">
        <f>IF(ISBLANK('Original Dataset'!L300),$Z$3,'Original Dataset'!L300)</f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f>IF(ISBLANK('Original Dataset'!J301),$Z$2,'Original Dataset'!J301)</f>
        <v>15.06</v>
      </c>
      <c r="K301">
        <v>0</v>
      </c>
      <c r="L301">
        <f>IF(ISBLANK('Original Dataset'!L301),$Z$3,'Original Dataset'!L301)</f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f>IF(ISBLANK('Original Dataset'!J302),$Z$2,'Original Dataset'!J302)</f>
        <v>5.07</v>
      </c>
      <c r="K302">
        <v>1</v>
      </c>
      <c r="L302">
        <f>IF(ISBLANK('Original Dataset'!L302),$Z$3,'Original Dataset'!L302)</f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f>IF(ISBLANK('Original Dataset'!J303),$Z$2,'Original Dataset'!J303)</f>
        <v>3.6</v>
      </c>
      <c r="K303">
        <v>0</v>
      </c>
      <c r="L303">
        <f>IF(ISBLANK('Original Dataset'!L303),$Z$3,'Original Dataset'!L303)</f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f>IF(ISBLANK('Original Dataset'!J304),$Z$2,'Original Dataset'!J304)</f>
        <v>4.3899999999999997</v>
      </c>
      <c r="K304">
        <v>1</v>
      </c>
      <c r="L304">
        <f>IF(ISBLANK('Original Dataset'!L304),$Z$3,'Original Dataset'!L304)</f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f>IF(ISBLANK('Original Dataset'!J305),$Z$2,'Original Dataset'!J305)</f>
        <v>2.79</v>
      </c>
      <c r="K305">
        <v>0</v>
      </c>
      <c r="L305">
        <f>IF(ISBLANK('Original Dataset'!L305),$Z$3,'Original Dataset'!L305)</f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f>IF(ISBLANK('Original Dataset'!J306),$Z$2,'Original Dataset'!J306)</f>
        <v>1.56</v>
      </c>
      <c r="K306">
        <v>0</v>
      </c>
      <c r="L306">
        <f>IF(ISBLANK('Original Dataset'!L306),$Z$3,'Original Dataset'!L306)</f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f>IF(ISBLANK('Original Dataset'!J307),$Z$2,'Original Dataset'!J307)</f>
        <v>15.82</v>
      </c>
      <c r="K307">
        <v>0</v>
      </c>
      <c r="L307">
        <f>IF(ISBLANK('Original Dataset'!L307),$Z$3,'Original Dataset'!L307)</f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f>IF(ISBLANK('Original Dataset'!J308),$Z$2,'Original Dataset'!J308)</f>
        <v>1.17</v>
      </c>
      <c r="K308">
        <v>1</v>
      </c>
      <c r="L308">
        <f>IF(ISBLANK('Original Dataset'!L308),$Z$3,'Original Dataset'!L308)</f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f>IF(ISBLANK('Original Dataset'!J309),$Z$2,'Original Dataset'!J309)</f>
        <v>3.82</v>
      </c>
      <c r="K309">
        <v>0</v>
      </c>
      <c r="L309">
        <f>IF(ISBLANK('Original Dataset'!L309),$Z$3,'Original Dataset'!L309)</f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f>IF(ISBLANK('Original Dataset'!J310),$Z$2,'Original Dataset'!J310)</f>
        <v>4.1399999999999997</v>
      </c>
      <c r="K310">
        <v>0</v>
      </c>
      <c r="L310">
        <f>IF(ISBLANK('Original Dataset'!L310),$Z$3,'Original Dataset'!L310)</f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f>IF(ISBLANK('Original Dataset'!J311),$Z$2,'Original Dataset'!J311)</f>
        <v>1.1000000000000001</v>
      </c>
      <c r="K311">
        <v>0</v>
      </c>
      <c r="L311">
        <f>IF(ISBLANK('Original Dataset'!L311),$Z$3,'Original Dataset'!L311)</f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f>IF(ISBLANK('Original Dataset'!J312),$Z$2,'Original Dataset'!J312)</f>
        <v>10.6</v>
      </c>
      <c r="K312">
        <v>0</v>
      </c>
      <c r="L312">
        <f>IF(ISBLANK('Original Dataset'!L312),$Z$3,'Original Dataset'!L312)</f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f>IF(ISBLANK('Original Dataset'!J313),$Z$2,'Original Dataset'!J313)</f>
        <v>0.9</v>
      </c>
      <c r="K313">
        <v>0</v>
      </c>
      <c r="L313" s="4">
        <f>IF(ISBLANK('Original Dataset'!L313),$Z$3,'Original Dataset'!L313)</f>
        <v>3.9246794871794881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f>IF(ISBLANK('Original Dataset'!J314),$Z$2,'Original Dataset'!J314)</f>
        <v>0.2</v>
      </c>
      <c r="K314">
        <v>0</v>
      </c>
      <c r="L314">
        <f>IF(ISBLANK('Original Dataset'!L314),$Z$3,'Original Dataset'!L314)</f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f>IF(ISBLANK('Original Dataset'!J315),$Z$2,'Original Dataset'!J315)</f>
        <v>4.67</v>
      </c>
      <c r="K315">
        <v>0</v>
      </c>
      <c r="L315" s="4">
        <f>IF(ISBLANK('Original Dataset'!L315),$Z$3,'Original Dataset'!L315)</f>
        <v>3.9246794871794881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f>IF(ISBLANK('Original Dataset'!J316),$Z$2,'Original Dataset'!J316)</f>
        <v>4.38</v>
      </c>
      <c r="K316">
        <v>1</v>
      </c>
      <c r="L316">
        <f>IF(ISBLANK('Original Dataset'!L316),$Z$3,'Original Dataset'!L316)</f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f>IF(ISBLANK('Original Dataset'!J317),$Z$2,'Original Dataset'!J317)</f>
        <v>4.4800000000000004</v>
      </c>
      <c r="K317">
        <v>0</v>
      </c>
      <c r="L317">
        <f>IF(ISBLANK('Original Dataset'!L317),$Z$3,'Original Dataset'!L317)</f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f>IF(ISBLANK('Original Dataset'!J318),$Z$2,'Original Dataset'!J318)</f>
        <v>1.02</v>
      </c>
      <c r="K318">
        <v>1</v>
      </c>
      <c r="L318">
        <f>IF(ISBLANK('Original Dataset'!L318),$Z$3,'Original Dataset'!L318)</f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f>IF(ISBLANK('Original Dataset'!J319),$Z$2,'Original Dataset'!J319)</f>
        <v>0.2</v>
      </c>
      <c r="K319">
        <v>0</v>
      </c>
      <c r="L319">
        <f>IF(ISBLANK('Original Dataset'!L319),$Z$3,'Original Dataset'!L319)</f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f>IF(ISBLANK('Original Dataset'!J320),$Z$2,'Original Dataset'!J320)</f>
        <v>4.8899999999999997</v>
      </c>
      <c r="K320">
        <v>1</v>
      </c>
      <c r="L320">
        <f>IF(ISBLANK('Original Dataset'!L320),$Z$3,'Original Dataset'!L320)</f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f>IF(ISBLANK('Original Dataset'!J321),$Z$2,'Original Dataset'!J321)</f>
        <v>11.82</v>
      </c>
      <c r="K321">
        <v>0</v>
      </c>
      <c r="L321">
        <f>IF(ISBLANK('Original Dataset'!L321),$Z$3,'Original Dataset'!L321)</f>
        <v>4.0999999999999996</v>
      </c>
      <c r="M321">
        <v>559660.84</v>
      </c>
      <c r="N321">
        <v>71443.61</v>
      </c>
    </row>
  </sheetData>
  <autoFilter ref="A1:N321" xr:uid="{A4DF2E68-988A-47D7-A823-284D4C56FFE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9FC6-63AC-463D-B0B5-1A774710B095}">
  <dimension ref="A1:T321"/>
  <sheetViews>
    <sheetView topLeftCell="D1" workbookViewId="0">
      <selection activeCell="E10" sqref="E10"/>
    </sheetView>
  </sheetViews>
  <sheetFormatPr defaultRowHeight="13.8"/>
  <cols>
    <col min="1" max="6" width="16.09765625" customWidth="1"/>
    <col min="7" max="7" width="19.296875" customWidth="1"/>
    <col min="8" max="8" width="16.09765625" customWidth="1"/>
    <col min="9" max="9" width="21" customWidth="1"/>
    <col min="10" max="10" width="25.69921875" customWidth="1"/>
    <col min="11" max="14" width="16.09765625" customWidth="1"/>
    <col min="15" max="16" width="13.19921875" customWidth="1"/>
    <col min="17" max="17" width="11.8984375" customWidth="1"/>
    <col min="18" max="18" width="11.796875" customWidth="1"/>
    <col min="19" max="19" width="15.796875" customWidth="1"/>
    <col min="20" max="20" width="13.8984375" customWidth="1"/>
  </cols>
  <sheetData>
    <row r="1" spans="1:20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</row>
    <row r="2" spans="1:20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>
        <f>IF(C2="North",1,0)</f>
        <v>0</v>
      </c>
      <c r="P2">
        <f>IF(C2="South",1,0)</f>
        <v>0</v>
      </c>
      <c r="Q2">
        <f>IF(C2="East",1,0)</f>
        <v>1</v>
      </c>
      <c r="R2">
        <f>IF(D2="Mall",1,0)</f>
        <v>0</v>
      </c>
      <c r="S2">
        <f>IF(D2="High Street",1,0)</f>
        <v>0</v>
      </c>
      <c r="T2">
        <f>IF(D2="Airport",1,0)</f>
        <v>0</v>
      </c>
    </row>
    <row r="3" spans="1:20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>
        <f t="shared" ref="O3:O66" si="0">IF(C3="North",1,0)</f>
        <v>0</v>
      </c>
      <c r="P3">
        <f t="shared" ref="P3:P66" si="1">IF(C3="South",1,0)</f>
        <v>0</v>
      </c>
      <c r="Q3">
        <f t="shared" ref="Q3:Q66" si="2">IF(C3="East",1,0)</f>
        <v>1</v>
      </c>
      <c r="R3">
        <f t="shared" ref="R3:R66" si="3">IF(D3="Mall",1,0)</f>
        <v>0</v>
      </c>
      <c r="S3">
        <f t="shared" ref="S3:S66" si="4">IF(D3="High Street",1,0)</f>
        <v>0</v>
      </c>
      <c r="T3">
        <f t="shared" ref="T3:T66" si="5">IF(D3="Airport",1,0)</f>
        <v>0</v>
      </c>
    </row>
    <row r="4" spans="1:20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>
        <f t="shared" si="0"/>
        <v>0</v>
      </c>
      <c r="P4">
        <f t="shared" si="1"/>
        <v>0</v>
      </c>
      <c r="Q4">
        <f t="shared" si="2"/>
        <v>1</v>
      </c>
      <c r="R4">
        <f t="shared" si="3"/>
        <v>0</v>
      </c>
      <c r="S4">
        <f t="shared" si="4"/>
        <v>0</v>
      </c>
      <c r="T4">
        <f t="shared" si="5"/>
        <v>0</v>
      </c>
    </row>
    <row r="5" spans="1:20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>
        <f t="shared" si="0"/>
        <v>0</v>
      </c>
      <c r="P5">
        <f t="shared" si="1"/>
        <v>0</v>
      </c>
      <c r="Q5">
        <f t="shared" si="2"/>
        <v>1</v>
      </c>
      <c r="R5">
        <f t="shared" si="3"/>
        <v>0</v>
      </c>
      <c r="S5">
        <f t="shared" si="4"/>
        <v>0</v>
      </c>
      <c r="T5">
        <f t="shared" si="5"/>
        <v>0</v>
      </c>
    </row>
    <row r="6" spans="1:20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>
        <f t="shared" si="0"/>
        <v>0</v>
      </c>
      <c r="P6">
        <f t="shared" si="1"/>
        <v>0</v>
      </c>
      <c r="Q6">
        <f t="shared" si="2"/>
        <v>1</v>
      </c>
      <c r="R6">
        <f t="shared" si="3"/>
        <v>0</v>
      </c>
      <c r="S6">
        <f t="shared" si="4"/>
        <v>1</v>
      </c>
      <c r="T6">
        <f t="shared" si="5"/>
        <v>0</v>
      </c>
    </row>
    <row r="7" spans="1:20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>
        <f t="shared" si="0"/>
        <v>0</v>
      </c>
      <c r="P7">
        <f t="shared" si="1"/>
        <v>0</v>
      </c>
      <c r="Q7">
        <f t="shared" si="2"/>
        <v>1</v>
      </c>
      <c r="R7">
        <f t="shared" si="3"/>
        <v>0</v>
      </c>
      <c r="S7">
        <f t="shared" si="4"/>
        <v>1</v>
      </c>
      <c r="T7">
        <f t="shared" si="5"/>
        <v>0</v>
      </c>
    </row>
    <row r="8" spans="1:20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>
        <f t="shared" si="0"/>
        <v>0</v>
      </c>
      <c r="P8">
        <f t="shared" si="1"/>
        <v>0</v>
      </c>
      <c r="Q8">
        <f t="shared" si="2"/>
        <v>1</v>
      </c>
      <c r="R8">
        <f t="shared" si="3"/>
        <v>0</v>
      </c>
      <c r="S8">
        <f t="shared" si="4"/>
        <v>1</v>
      </c>
      <c r="T8">
        <f t="shared" si="5"/>
        <v>0</v>
      </c>
    </row>
    <row r="9" spans="1:20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>
        <f t="shared" si="0"/>
        <v>0</v>
      </c>
      <c r="P9">
        <f t="shared" si="1"/>
        <v>0</v>
      </c>
      <c r="Q9">
        <f t="shared" si="2"/>
        <v>1</v>
      </c>
      <c r="R9">
        <f t="shared" si="3"/>
        <v>0</v>
      </c>
      <c r="S9">
        <f t="shared" si="4"/>
        <v>1</v>
      </c>
      <c r="T9">
        <f t="shared" si="5"/>
        <v>0</v>
      </c>
    </row>
    <row r="10" spans="1:20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>
        <f t="shared" si="0"/>
        <v>1</v>
      </c>
      <c r="P10">
        <f t="shared" si="1"/>
        <v>0</v>
      </c>
      <c r="Q10">
        <f t="shared" si="2"/>
        <v>0</v>
      </c>
      <c r="R10">
        <f t="shared" si="3"/>
        <v>0</v>
      </c>
      <c r="S10">
        <f t="shared" si="4"/>
        <v>0</v>
      </c>
      <c r="T10">
        <f t="shared" si="5"/>
        <v>1</v>
      </c>
    </row>
    <row r="11" spans="1:20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>
        <f t="shared" si="0"/>
        <v>1</v>
      </c>
      <c r="P11">
        <f t="shared" si="1"/>
        <v>0</v>
      </c>
      <c r="Q11">
        <f t="shared" si="2"/>
        <v>0</v>
      </c>
      <c r="R11">
        <f t="shared" si="3"/>
        <v>0</v>
      </c>
      <c r="S11">
        <f t="shared" si="4"/>
        <v>0</v>
      </c>
      <c r="T11">
        <f t="shared" si="5"/>
        <v>1</v>
      </c>
    </row>
    <row r="12" spans="1:20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>
        <f t="shared" si="0"/>
        <v>1</v>
      </c>
      <c r="P12">
        <f t="shared" si="1"/>
        <v>0</v>
      </c>
      <c r="Q12">
        <f t="shared" si="2"/>
        <v>0</v>
      </c>
      <c r="R12">
        <f t="shared" si="3"/>
        <v>0</v>
      </c>
      <c r="S12">
        <f t="shared" si="4"/>
        <v>0</v>
      </c>
      <c r="T12">
        <f t="shared" si="5"/>
        <v>1</v>
      </c>
    </row>
    <row r="13" spans="1:20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>
        <f t="shared" si="0"/>
        <v>1</v>
      </c>
      <c r="P13">
        <f t="shared" si="1"/>
        <v>0</v>
      </c>
      <c r="Q13">
        <f t="shared" si="2"/>
        <v>0</v>
      </c>
      <c r="R13">
        <f t="shared" si="3"/>
        <v>0</v>
      </c>
      <c r="S13">
        <f t="shared" si="4"/>
        <v>0</v>
      </c>
      <c r="T13">
        <f t="shared" si="5"/>
        <v>1</v>
      </c>
    </row>
    <row r="14" spans="1:20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>
        <f t="shared" si="0"/>
        <v>0</v>
      </c>
      <c r="P14">
        <f t="shared" si="1"/>
        <v>0</v>
      </c>
      <c r="Q14">
        <f t="shared" si="2"/>
        <v>1</v>
      </c>
      <c r="R14">
        <f t="shared" si="3"/>
        <v>0</v>
      </c>
      <c r="S14">
        <f t="shared" si="4"/>
        <v>0</v>
      </c>
      <c r="T14">
        <f t="shared" si="5"/>
        <v>0</v>
      </c>
    </row>
    <row r="15" spans="1:20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>
        <f t="shared" si="0"/>
        <v>0</v>
      </c>
      <c r="P15">
        <f t="shared" si="1"/>
        <v>0</v>
      </c>
      <c r="Q15">
        <f t="shared" si="2"/>
        <v>1</v>
      </c>
      <c r="R15">
        <f t="shared" si="3"/>
        <v>0</v>
      </c>
      <c r="S15">
        <f t="shared" si="4"/>
        <v>0</v>
      </c>
      <c r="T15">
        <f t="shared" si="5"/>
        <v>0</v>
      </c>
    </row>
    <row r="16" spans="1:20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>
        <f t="shared" si="0"/>
        <v>0</v>
      </c>
      <c r="P16">
        <f t="shared" si="1"/>
        <v>0</v>
      </c>
      <c r="Q16">
        <f t="shared" si="2"/>
        <v>1</v>
      </c>
      <c r="R16">
        <f t="shared" si="3"/>
        <v>0</v>
      </c>
      <c r="S16">
        <f t="shared" si="4"/>
        <v>0</v>
      </c>
      <c r="T16">
        <f t="shared" si="5"/>
        <v>0</v>
      </c>
    </row>
    <row r="17" spans="1:20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>
        <f t="shared" si="0"/>
        <v>0</v>
      </c>
      <c r="P17">
        <f t="shared" si="1"/>
        <v>0</v>
      </c>
      <c r="Q17">
        <f t="shared" si="2"/>
        <v>1</v>
      </c>
      <c r="R17">
        <f t="shared" si="3"/>
        <v>0</v>
      </c>
      <c r="S17">
        <f t="shared" si="4"/>
        <v>0</v>
      </c>
      <c r="T17">
        <f t="shared" si="5"/>
        <v>0</v>
      </c>
    </row>
    <row r="18" spans="1:20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>
        <f t="shared" si="0"/>
        <v>0</v>
      </c>
      <c r="P18">
        <f t="shared" si="1"/>
        <v>1</v>
      </c>
      <c r="Q18">
        <f t="shared" si="2"/>
        <v>0</v>
      </c>
      <c r="R18">
        <f t="shared" si="3"/>
        <v>0</v>
      </c>
      <c r="S18">
        <f t="shared" si="4"/>
        <v>0</v>
      </c>
      <c r="T18">
        <f t="shared" si="5"/>
        <v>0</v>
      </c>
    </row>
    <row r="19" spans="1:20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>
        <f t="shared" si="0"/>
        <v>0</v>
      </c>
      <c r="P19">
        <f t="shared" si="1"/>
        <v>1</v>
      </c>
      <c r="Q19">
        <f t="shared" si="2"/>
        <v>0</v>
      </c>
      <c r="R19">
        <f t="shared" si="3"/>
        <v>0</v>
      </c>
      <c r="S19">
        <f t="shared" si="4"/>
        <v>0</v>
      </c>
      <c r="T19">
        <f t="shared" si="5"/>
        <v>0</v>
      </c>
    </row>
    <row r="20" spans="1:20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>
        <f t="shared" si="0"/>
        <v>0</v>
      </c>
      <c r="P20">
        <f t="shared" si="1"/>
        <v>1</v>
      </c>
      <c r="Q20">
        <f t="shared" si="2"/>
        <v>0</v>
      </c>
      <c r="R20">
        <f t="shared" si="3"/>
        <v>0</v>
      </c>
      <c r="S20">
        <f t="shared" si="4"/>
        <v>0</v>
      </c>
      <c r="T20">
        <f t="shared" si="5"/>
        <v>0</v>
      </c>
    </row>
    <row r="21" spans="1:20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>
        <f t="shared" si="0"/>
        <v>0</v>
      </c>
      <c r="P21">
        <f t="shared" si="1"/>
        <v>1</v>
      </c>
      <c r="Q21">
        <f t="shared" si="2"/>
        <v>0</v>
      </c>
      <c r="R21">
        <f t="shared" si="3"/>
        <v>0</v>
      </c>
      <c r="S21">
        <f t="shared" si="4"/>
        <v>0</v>
      </c>
      <c r="T21">
        <f t="shared" si="5"/>
        <v>0</v>
      </c>
    </row>
    <row r="22" spans="1:20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>
        <f t="shared" si="0"/>
        <v>1</v>
      </c>
      <c r="P22">
        <f t="shared" si="1"/>
        <v>0</v>
      </c>
      <c r="Q22">
        <f t="shared" si="2"/>
        <v>0</v>
      </c>
      <c r="R22">
        <f t="shared" si="3"/>
        <v>0</v>
      </c>
      <c r="S22">
        <f t="shared" si="4"/>
        <v>0</v>
      </c>
      <c r="T22">
        <f t="shared" si="5"/>
        <v>0</v>
      </c>
    </row>
    <row r="23" spans="1:20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>
        <f t="shared" si="0"/>
        <v>1</v>
      </c>
      <c r="P23">
        <f t="shared" si="1"/>
        <v>0</v>
      </c>
      <c r="Q23">
        <f t="shared" si="2"/>
        <v>0</v>
      </c>
      <c r="R23">
        <f t="shared" si="3"/>
        <v>0</v>
      </c>
      <c r="S23">
        <f t="shared" si="4"/>
        <v>0</v>
      </c>
      <c r="T23">
        <f t="shared" si="5"/>
        <v>0</v>
      </c>
    </row>
    <row r="24" spans="1:20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>
        <f t="shared" si="0"/>
        <v>1</v>
      </c>
      <c r="P24">
        <f t="shared" si="1"/>
        <v>0</v>
      </c>
      <c r="Q24">
        <f t="shared" si="2"/>
        <v>0</v>
      </c>
      <c r="R24">
        <f t="shared" si="3"/>
        <v>0</v>
      </c>
      <c r="S24">
        <f t="shared" si="4"/>
        <v>0</v>
      </c>
      <c r="T24">
        <f t="shared" si="5"/>
        <v>0</v>
      </c>
    </row>
    <row r="25" spans="1:20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>
        <f t="shared" si="0"/>
        <v>1</v>
      </c>
      <c r="P25">
        <f t="shared" si="1"/>
        <v>0</v>
      </c>
      <c r="Q25">
        <f t="shared" si="2"/>
        <v>0</v>
      </c>
      <c r="R25">
        <f t="shared" si="3"/>
        <v>0</v>
      </c>
      <c r="S25">
        <f t="shared" si="4"/>
        <v>0</v>
      </c>
      <c r="T25">
        <f t="shared" si="5"/>
        <v>0</v>
      </c>
    </row>
    <row r="26" spans="1:20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>
        <f t="shared" si="0"/>
        <v>0</v>
      </c>
      <c r="P26">
        <f t="shared" si="1"/>
        <v>0</v>
      </c>
      <c r="Q26">
        <f t="shared" si="2"/>
        <v>0</v>
      </c>
      <c r="R26">
        <f t="shared" si="3"/>
        <v>1</v>
      </c>
      <c r="S26">
        <f t="shared" si="4"/>
        <v>0</v>
      </c>
      <c r="T26">
        <f t="shared" si="5"/>
        <v>0</v>
      </c>
    </row>
    <row r="27" spans="1:20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>
        <f t="shared" si="0"/>
        <v>0</v>
      </c>
      <c r="P27">
        <f t="shared" si="1"/>
        <v>0</v>
      </c>
      <c r="Q27">
        <f t="shared" si="2"/>
        <v>0</v>
      </c>
      <c r="R27">
        <f t="shared" si="3"/>
        <v>1</v>
      </c>
      <c r="S27">
        <f t="shared" si="4"/>
        <v>0</v>
      </c>
      <c r="T27">
        <f t="shared" si="5"/>
        <v>0</v>
      </c>
    </row>
    <row r="28" spans="1:20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>
        <f t="shared" si="0"/>
        <v>0</v>
      </c>
      <c r="P28">
        <f t="shared" si="1"/>
        <v>0</v>
      </c>
      <c r="Q28">
        <f t="shared" si="2"/>
        <v>0</v>
      </c>
      <c r="R28">
        <f t="shared" si="3"/>
        <v>1</v>
      </c>
      <c r="S28">
        <f t="shared" si="4"/>
        <v>0</v>
      </c>
      <c r="T28">
        <f t="shared" si="5"/>
        <v>0</v>
      </c>
    </row>
    <row r="29" spans="1:20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>
        <f t="shared" si="0"/>
        <v>0</v>
      </c>
      <c r="P29">
        <f t="shared" si="1"/>
        <v>0</v>
      </c>
      <c r="Q29">
        <f t="shared" si="2"/>
        <v>0</v>
      </c>
      <c r="R29">
        <f t="shared" si="3"/>
        <v>1</v>
      </c>
      <c r="S29">
        <f t="shared" si="4"/>
        <v>0</v>
      </c>
      <c r="T29">
        <f t="shared" si="5"/>
        <v>0</v>
      </c>
    </row>
    <row r="30" spans="1:20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>
        <f t="shared" si="0"/>
        <v>0</v>
      </c>
      <c r="P30">
        <f t="shared" si="1"/>
        <v>0</v>
      </c>
      <c r="Q30">
        <f t="shared" si="2"/>
        <v>1</v>
      </c>
      <c r="R30">
        <f t="shared" si="3"/>
        <v>0</v>
      </c>
      <c r="S30">
        <f t="shared" si="4"/>
        <v>0</v>
      </c>
      <c r="T30">
        <f t="shared" si="5"/>
        <v>0</v>
      </c>
    </row>
    <row r="31" spans="1:20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>
        <f t="shared" si="0"/>
        <v>0</v>
      </c>
      <c r="P31">
        <f t="shared" si="1"/>
        <v>0</v>
      </c>
      <c r="Q31">
        <f t="shared" si="2"/>
        <v>1</v>
      </c>
      <c r="R31">
        <f t="shared" si="3"/>
        <v>0</v>
      </c>
      <c r="S31">
        <f t="shared" si="4"/>
        <v>0</v>
      </c>
      <c r="T31">
        <f t="shared" si="5"/>
        <v>0</v>
      </c>
    </row>
    <row r="32" spans="1:20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>
        <f t="shared" si="0"/>
        <v>0</v>
      </c>
      <c r="P32">
        <f t="shared" si="1"/>
        <v>0</v>
      </c>
      <c r="Q32">
        <f t="shared" si="2"/>
        <v>1</v>
      </c>
      <c r="R32">
        <f t="shared" si="3"/>
        <v>0</v>
      </c>
      <c r="S32">
        <f t="shared" si="4"/>
        <v>0</v>
      </c>
      <c r="T32">
        <f t="shared" si="5"/>
        <v>0</v>
      </c>
    </row>
    <row r="33" spans="1:20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>
        <f t="shared" si="0"/>
        <v>0</v>
      </c>
      <c r="P33">
        <f t="shared" si="1"/>
        <v>0</v>
      </c>
      <c r="Q33">
        <f t="shared" si="2"/>
        <v>1</v>
      </c>
      <c r="R33">
        <f t="shared" si="3"/>
        <v>0</v>
      </c>
      <c r="S33">
        <f t="shared" si="4"/>
        <v>0</v>
      </c>
      <c r="T33">
        <f t="shared" si="5"/>
        <v>0</v>
      </c>
    </row>
    <row r="34" spans="1:20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>
        <f t="shared" si="0"/>
        <v>1</v>
      </c>
      <c r="P34">
        <f t="shared" si="1"/>
        <v>0</v>
      </c>
      <c r="Q34">
        <f t="shared" si="2"/>
        <v>0</v>
      </c>
      <c r="R34">
        <f t="shared" si="3"/>
        <v>0</v>
      </c>
      <c r="S34">
        <f t="shared" si="4"/>
        <v>0</v>
      </c>
      <c r="T34">
        <f t="shared" si="5"/>
        <v>0</v>
      </c>
    </row>
    <row r="35" spans="1:20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 s="4">
        <v>3.9246794871794881</v>
      </c>
      <c r="M35">
        <v>799477.76000000001</v>
      </c>
      <c r="N35">
        <v>164974.41</v>
      </c>
      <c r="O35">
        <f t="shared" si="0"/>
        <v>1</v>
      </c>
      <c r="P35">
        <f t="shared" si="1"/>
        <v>0</v>
      </c>
      <c r="Q35">
        <f t="shared" si="2"/>
        <v>0</v>
      </c>
      <c r="R35">
        <f t="shared" si="3"/>
        <v>0</v>
      </c>
      <c r="S35">
        <f t="shared" si="4"/>
        <v>0</v>
      </c>
      <c r="T35">
        <f t="shared" si="5"/>
        <v>0</v>
      </c>
    </row>
    <row r="36" spans="1:20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>
        <f t="shared" si="0"/>
        <v>1</v>
      </c>
      <c r="P36">
        <f t="shared" si="1"/>
        <v>0</v>
      </c>
      <c r="Q36">
        <f t="shared" si="2"/>
        <v>0</v>
      </c>
      <c r="R36">
        <f t="shared" si="3"/>
        <v>0</v>
      </c>
      <c r="S36">
        <f t="shared" si="4"/>
        <v>0</v>
      </c>
      <c r="T36">
        <f t="shared" si="5"/>
        <v>0</v>
      </c>
    </row>
    <row r="37" spans="1:20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>
        <f t="shared" si="0"/>
        <v>1</v>
      </c>
      <c r="P37">
        <f t="shared" si="1"/>
        <v>0</v>
      </c>
      <c r="Q37">
        <f t="shared" si="2"/>
        <v>0</v>
      </c>
      <c r="R37">
        <f t="shared" si="3"/>
        <v>0</v>
      </c>
      <c r="S37">
        <f t="shared" si="4"/>
        <v>0</v>
      </c>
      <c r="T37">
        <f t="shared" si="5"/>
        <v>0</v>
      </c>
    </row>
    <row r="38" spans="1:20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>
        <f t="shared" si="0"/>
        <v>1</v>
      </c>
      <c r="P38">
        <f t="shared" si="1"/>
        <v>0</v>
      </c>
      <c r="Q38">
        <f t="shared" si="2"/>
        <v>0</v>
      </c>
      <c r="R38">
        <f t="shared" si="3"/>
        <v>1</v>
      </c>
      <c r="S38">
        <f t="shared" si="4"/>
        <v>0</v>
      </c>
      <c r="T38">
        <f t="shared" si="5"/>
        <v>0</v>
      </c>
    </row>
    <row r="39" spans="1:20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>
        <f t="shared" si="0"/>
        <v>1</v>
      </c>
      <c r="P39">
        <f t="shared" si="1"/>
        <v>0</v>
      </c>
      <c r="Q39">
        <f t="shared" si="2"/>
        <v>0</v>
      </c>
      <c r="R39">
        <f t="shared" si="3"/>
        <v>1</v>
      </c>
      <c r="S39">
        <f t="shared" si="4"/>
        <v>0</v>
      </c>
      <c r="T39">
        <f t="shared" si="5"/>
        <v>0</v>
      </c>
    </row>
    <row r="40" spans="1:20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>
        <f t="shared" si="0"/>
        <v>1</v>
      </c>
      <c r="P40">
        <f t="shared" si="1"/>
        <v>0</v>
      </c>
      <c r="Q40">
        <f t="shared" si="2"/>
        <v>0</v>
      </c>
      <c r="R40">
        <f t="shared" si="3"/>
        <v>1</v>
      </c>
      <c r="S40">
        <f t="shared" si="4"/>
        <v>0</v>
      </c>
      <c r="T40">
        <f t="shared" si="5"/>
        <v>0</v>
      </c>
    </row>
    <row r="41" spans="1:20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>
        <f t="shared" si="0"/>
        <v>1</v>
      </c>
      <c r="P41">
        <f t="shared" si="1"/>
        <v>0</v>
      </c>
      <c r="Q41">
        <f t="shared" si="2"/>
        <v>0</v>
      </c>
      <c r="R41">
        <f t="shared" si="3"/>
        <v>1</v>
      </c>
      <c r="S41">
        <f t="shared" si="4"/>
        <v>0</v>
      </c>
      <c r="T41">
        <f t="shared" si="5"/>
        <v>0</v>
      </c>
    </row>
    <row r="42" spans="1:20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>
        <f t="shared" si="0"/>
        <v>0</v>
      </c>
      <c r="P42">
        <f t="shared" si="1"/>
        <v>0</v>
      </c>
      <c r="Q42">
        <f t="shared" si="2"/>
        <v>1</v>
      </c>
      <c r="R42">
        <f t="shared" si="3"/>
        <v>1</v>
      </c>
      <c r="S42">
        <f t="shared" si="4"/>
        <v>0</v>
      </c>
      <c r="T42">
        <f t="shared" si="5"/>
        <v>0</v>
      </c>
    </row>
    <row r="43" spans="1:20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>
        <f t="shared" si="0"/>
        <v>0</v>
      </c>
      <c r="P43">
        <f t="shared" si="1"/>
        <v>0</v>
      </c>
      <c r="Q43">
        <f t="shared" si="2"/>
        <v>1</v>
      </c>
      <c r="R43">
        <f t="shared" si="3"/>
        <v>1</v>
      </c>
      <c r="S43">
        <f t="shared" si="4"/>
        <v>0</v>
      </c>
      <c r="T43">
        <f t="shared" si="5"/>
        <v>0</v>
      </c>
    </row>
    <row r="44" spans="1:20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>
        <f t="shared" si="0"/>
        <v>0</v>
      </c>
      <c r="P44">
        <f t="shared" si="1"/>
        <v>0</v>
      </c>
      <c r="Q44">
        <f t="shared" si="2"/>
        <v>1</v>
      </c>
      <c r="R44">
        <f t="shared" si="3"/>
        <v>1</v>
      </c>
      <c r="S44">
        <f t="shared" si="4"/>
        <v>0</v>
      </c>
      <c r="T44">
        <f t="shared" si="5"/>
        <v>0</v>
      </c>
    </row>
    <row r="45" spans="1:20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>
        <f t="shared" si="0"/>
        <v>0</v>
      </c>
      <c r="P45">
        <f t="shared" si="1"/>
        <v>0</v>
      </c>
      <c r="Q45">
        <f t="shared" si="2"/>
        <v>1</v>
      </c>
      <c r="R45">
        <f t="shared" si="3"/>
        <v>1</v>
      </c>
      <c r="S45">
        <f t="shared" si="4"/>
        <v>0</v>
      </c>
      <c r="T45">
        <f t="shared" si="5"/>
        <v>0</v>
      </c>
    </row>
    <row r="46" spans="1:20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>
        <f t="shared" si="0"/>
        <v>0</v>
      </c>
      <c r="P46">
        <f t="shared" si="1"/>
        <v>0</v>
      </c>
      <c r="Q46">
        <f t="shared" si="2"/>
        <v>0</v>
      </c>
      <c r="R46">
        <f t="shared" si="3"/>
        <v>0</v>
      </c>
      <c r="S46">
        <f t="shared" si="4"/>
        <v>0</v>
      </c>
      <c r="T46">
        <f t="shared" si="5"/>
        <v>0</v>
      </c>
    </row>
    <row r="47" spans="1:20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>
        <f t="shared" si="0"/>
        <v>0</v>
      </c>
      <c r="P47">
        <f t="shared" si="1"/>
        <v>0</v>
      </c>
      <c r="Q47">
        <f t="shared" si="2"/>
        <v>0</v>
      </c>
      <c r="R47">
        <f t="shared" si="3"/>
        <v>0</v>
      </c>
      <c r="S47">
        <f t="shared" si="4"/>
        <v>0</v>
      </c>
      <c r="T47">
        <f t="shared" si="5"/>
        <v>0</v>
      </c>
    </row>
    <row r="48" spans="1:20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>
        <f t="shared" si="0"/>
        <v>0</v>
      </c>
      <c r="P48">
        <f t="shared" si="1"/>
        <v>0</v>
      </c>
      <c r="Q48">
        <f t="shared" si="2"/>
        <v>0</v>
      </c>
      <c r="R48">
        <f t="shared" si="3"/>
        <v>0</v>
      </c>
      <c r="S48">
        <f t="shared" si="4"/>
        <v>0</v>
      </c>
      <c r="T48">
        <f t="shared" si="5"/>
        <v>0</v>
      </c>
    </row>
    <row r="49" spans="1:20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>
        <f t="shared" si="0"/>
        <v>0</v>
      </c>
      <c r="P49">
        <f t="shared" si="1"/>
        <v>0</v>
      </c>
      <c r="Q49">
        <f t="shared" si="2"/>
        <v>0</v>
      </c>
      <c r="R49">
        <f t="shared" si="3"/>
        <v>0</v>
      </c>
      <c r="S49">
        <f t="shared" si="4"/>
        <v>0</v>
      </c>
      <c r="T49">
        <f t="shared" si="5"/>
        <v>0</v>
      </c>
    </row>
    <row r="50" spans="1:20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>
        <f t="shared" si="0"/>
        <v>1</v>
      </c>
      <c r="P50">
        <f t="shared" si="1"/>
        <v>0</v>
      </c>
      <c r="Q50">
        <f t="shared" si="2"/>
        <v>0</v>
      </c>
      <c r="R50">
        <f t="shared" si="3"/>
        <v>1</v>
      </c>
      <c r="S50">
        <f t="shared" si="4"/>
        <v>0</v>
      </c>
      <c r="T50">
        <f t="shared" si="5"/>
        <v>0</v>
      </c>
    </row>
    <row r="51" spans="1:20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>
        <f t="shared" si="0"/>
        <v>1</v>
      </c>
      <c r="P51">
        <f t="shared" si="1"/>
        <v>0</v>
      </c>
      <c r="Q51">
        <f t="shared" si="2"/>
        <v>0</v>
      </c>
      <c r="R51">
        <f t="shared" si="3"/>
        <v>1</v>
      </c>
      <c r="S51">
        <f t="shared" si="4"/>
        <v>0</v>
      </c>
      <c r="T51">
        <f t="shared" si="5"/>
        <v>0</v>
      </c>
    </row>
    <row r="52" spans="1:20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>
        <f t="shared" si="0"/>
        <v>1</v>
      </c>
      <c r="P52">
        <f t="shared" si="1"/>
        <v>0</v>
      </c>
      <c r="Q52">
        <f t="shared" si="2"/>
        <v>0</v>
      </c>
      <c r="R52">
        <f t="shared" si="3"/>
        <v>1</v>
      </c>
      <c r="S52">
        <f t="shared" si="4"/>
        <v>0</v>
      </c>
      <c r="T52">
        <f t="shared" si="5"/>
        <v>0</v>
      </c>
    </row>
    <row r="53" spans="1:20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>
        <f t="shared" si="0"/>
        <v>1</v>
      </c>
      <c r="P53">
        <f t="shared" si="1"/>
        <v>0</v>
      </c>
      <c r="Q53">
        <f t="shared" si="2"/>
        <v>0</v>
      </c>
      <c r="R53">
        <f t="shared" si="3"/>
        <v>1</v>
      </c>
      <c r="S53">
        <f t="shared" si="4"/>
        <v>0</v>
      </c>
      <c r="T53">
        <f t="shared" si="5"/>
        <v>0</v>
      </c>
    </row>
    <row r="54" spans="1:20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 t="shared" si="0"/>
        <v>0</v>
      </c>
      <c r="P54">
        <f t="shared" si="1"/>
        <v>0</v>
      </c>
      <c r="Q54">
        <f t="shared" si="2"/>
        <v>0</v>
      </c>
      <c r="R54">
        <f t="shared" si="3"/>
        <v>0</v>
      </c>
      <c r="S54">
        <f t="shared" si="4"/>
        <v>1</v>
      </c>
      <c r="T54">
        <f t="shared" si="5"/>
        <v>0</v>
      </c>
    </row>
    <row r="55" spans="1:20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>
        <f t="shared" si="0"/>
        <v>0</v>
      </c>
      <c r="P55">
        <f t="shared" si="1"/>
        <v>0</v>
      </c>
      <c r="Q55">
        <f t="shared" si="2"/>
        <v>0</v>
      </c>
      <c r="R55">
        <f t="shared" si="3"/>
        <v>0</v>
      </c>
      <c r="S55">
        <f t="shared" si="4"/>
        <v>1</v>
      </c>
      <c r="T55">
        <f t="shared" si="5"/>
        <v>0</v>
      </c>
    </row>
    <row r="56" spans="1:20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>
        <f t="shared" si="0"/>
        <v>0</v>
      </c>
      <c r="P56">
        <f t="shared" si="1"/>
        <v>0</v>
      </c>
      <c r="Q56">
        <f t="shared" si="2"/>
        <v>0</v>
      </c>
      <c r="R56">
        <f t="shared" si="3"/>
        <v>0</v>
      </c>
      <c r="S56">
        <f t="shared" si="4"/>
        <v>1</v>
      </c>
      <c r="T56">
        <f t="shared" si="5"/>
        <v>0</v>
      </c>
    </row>
    <row r="57" spans="1:20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>
        <f t="shared" si="0"/>
        <v>0</v>
      </c>
      <c r="P57">
        <f t="shared" si="1"/>
        <v>0</v>
      </c>
      <c r="Q57">
        <f t="shared" si="2"/>
        <v>0</v>
      </c>
      <c r="R57">
        <f t="shared" si="3"/>
        <v>0</v>
      </c>
      <c r="S57">
        <f t="shared" si="4"/>
        <v>1</v>
      </c>
      <c r="T57">
        <f t="shared" si="5"/>
        <v>0</v>
      </c>
    </row>
    <row r="58" spans="1:20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>
        <f t="shared" si="0"/>
        <v>0</v>
      </c>
      <c r="P58">
        <f t="shared" si="1"/>
        <v>0</v>
      </c>
      <c r="Q58">
        <f t="shared" si="2"/>
        <v>1</v>
      </c>
      <c r="R58">
        <f t="shared" si="3"/>
        <v>0</v>
      </c>
      <c r="S58">
        <f t="shared" si="4"/>
        <v>0</v>
      </c>
      <c r="T58">
        <f t="shared" si="5"/>
        <v>1</v>
      </c>
    </row>
    <row r="59" spans="1:20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>
        <f t="shared" si="0"/>
        <v>0</v>
      </c>
      <c r="P59">
        <f t="shared" si="1"/>
        <v>0</v>
      </c>
      <c r="Q59">
        <f t="shared" si="2"/>
        <v>1</v>
      </c>
      <c r="R59">
        <f t="shared" si="3"/>
        <v>0</v>
      </c>
      <c r="S59">
        <f t="shared" si="4"/>
        <v>0</v>
      </c>
      <c r="T59">
        <f t="shared" si="5"/>
        <v>1</v>
      </c>
    </row>
    <row r="60" spans="1:20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>
        <f t="shared" si="0"/>
        <v>0</v>
      </c>
      <c r="P60">
        <f t="shared" si="1"/>
        <v>0</v>
      </c>
      <c r="Q60">
        <f t="shared" si="2"/>
        <v>1</v>
      </c>
      <c r="R60">
        <f t="shared" si="3"/>
        <v>0</v>
      </c>
      <c r="S60">
        <f t="shared" si="4"/>
        <v>0</v>
      </c>
      <c r="T60">
        <f t="shared" si="5"/>
        <v>1</v>
      </c>
    </row>
    <row r="61" spans="1:20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>
        <f t="shared" si="0"/>
        <v>0</v>
      </c>
      <c r="P61">
        <f t="shared" si="1"/>
        <v>0</v>
      </c>
      <c r="Q61">
        <f t="shared" si="2"/>
        <v>1</v>
      </c>
      <c r="R61">
        <f t="shared" si="3"/>
        <v>0</v>
      </c>
      <c r="S61">
        <f t="shared" si="4"/>
        <v>0</v>
      </c>
      <c r="T61">
        <f t="shared" si="5"/>
        <v>1</v>
      </c>
    </row>
    <row r="62" spans="1:20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>
        <f t="shared" si="0"/>
        <v>0</v>
      </c>
      <c r="P62">
        <f t="shared" si="1"/>
        <v>1</v>
      </c>
      <c r="Q62">
        <f t="shared" si="2"/>
        <v>0</v>
      </c>
      <c r="R62">
        <f t="shared" si="3"/>
        <v>0</v>
      </c>
      <c r="S62">
        <f t="shared" si="4"/>
        <v>1</v>
      </c>
      <c r="T62">
        <f t="shared" si="5"/>
        <v>0</v>
      </c>
    </row>
    <row r="63" spans="1:20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>
        <f t="shared" si="0"/>
        <v>0</v>
      </c>
      <c r="P63">
        <f t="shared" si="1"/>
        <v>1</v>
      </c>
      <c r="Q63">
        <f t="shared" si="2"/>
        <v>0</v>
      </c>
      <c r="R63">
        <f t="shared" si="3"/>
        <v>0</v>
      </c>
      <c r="S63">
        <f t="shared" si="4"/>
        <v>1</v>
      </c>
      <c r="T63">
        <f t="shared" si="5"/>
        <v>0</v>
      </c>
    </row>
    <row r="64" spans="1:20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>
        <f t="shared" si="0"/>
        <v>0</v>
      </c>
      <c r="P64">
        <f t="shared" si="1"/>
        <v>1</v>
      </c>
      <c r="Q64">
        <f t="shared" si="2"/>
        <v>0</v>
      </c>
      <c r="R64">
        <f t="shared" si="3"/>
        <v>0</v>
      </c>
      <c r="S64">
        <f t="shared" si="4"/>
        <v>1</v>
      </c>
      <c r="T64">
        <f t="shared" si="5"/>
        <v>0</v>
      </c>
    </row>
    <row r="65" spans="1:20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>
        <f t="shared" si="0"/>
        <v>0</v>
      </c>
      <c r="P65">
        <f t="shared" si="1"/>
        <v>1</v>
      </c>
      <c r="Q65">
        <f t="shared" si="2"/>
        <v>0</v>
      </c>
      <c r="R65">
        <f t="shared" si="3"/>
        <v>0</v>
      </c>
      <c r="S65">
        <f t="shared" si="4"/>
        <v>1</v>
      </c>
      <c r="T65">
        <f t="shared" si="5"/>
        <v>0</v>
      </c>
    </row>
    <row r="66" spans="1:20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>
        <f t="shared" si="0"/>
        <v>0</v>
      </c>
      <c r="P66">
        <f t="shared" si="1"/>
        <v>0</v>
      </c>
      <c r="Q66">
        <f t="shared" si="2"/>
        <v>0</v>
      </c>
      <c r="R66">
        <f t="shared" si="3"/>
        <v>0</v>
      </c>
      <c r="S66">
        <f t="shared" si="4"/>
        <v>1</v>
      </c>
      <c r="T66">
        <f t="shared" si="5"/>
        <v>0</v>
      </c>
    </row>
    <row r="67" spans="1:20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>
        <f t="shared" ref="O67:O130" si="6">IF(C67="North",1,0)</f>
        <v>0</v>
      </c>
      <c r="P67">
        <f t="shared" ref="P67:P130" si="7">IF(C67="South",1,0)</f>
        <v>0</v>
      </c>
      <c r="Q67">
        <f t="shared" ref="Q67:Q130" si="8">IF(C67="East",1,0)</f>
        <v>0</v>
      </c>
      <c r="R67">
        <f t="shared" ref="R67:R130" si="9">IF(D67="Mall",1,0)</f>
        <v>0</v>
      </c>
      <c r="S67">
        <f t="shared" ref="S67:S130" si="10">IF(D67="High Street",1,0)</f>
        <v>1</v>
      </c>
      <c r="T67">
        <f t="shared" ref="T67:T130" si="11">IF(D67="Airport",1,0)</f>
        <v>0</v>
      </c>
    </row>
    <row r="68" spans="1:20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>
        <f t="shared" si="6"/>
        <v>0</v>
      </c>
      <c r="P68">
        <f t="shared" si="7"/>
        <v>0</v>
      </c>
      <c r="Q68">
        <f t="shared" si="8"/>
        <v>0</v>
      </c>
      <c r="R68">
        <f t="shared" si="9"/>
        <v>0</v>
      </c>
      <c r="S68">
        <f t="shared" si="10"/>
        <v>1</v>
      </c>
      <c r="T68">
        <f t="shared" si="11"/>
        <v>0</v>
      </c>
    </row>
    <row r="69" spans="1:20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>
        <f t="shared" si="6"/>
        <v>0</v>
      </c>
      <c r="P69">
        <f t="shared" si="7"/>
        <v>0</v>
      </c>
      <c r="Q69">
        <f t="shared" si="8"/>
        <v>0</v>
      </c>
      <c r="R69">
        <f t="shared" si="9"/>
        <v>0</v>
      </c>
      <c r="S69">
        <f t="shared" si="10"/>
        <v>1</v>
      </c>
      <c r="T69">
        <f t="shared" si="11"/>
        <v>0</v>
      </c>
    </row>
    <row r="70" spans="1:20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>
        <f t="shared" si="6"/>
        <v>0</v>
      </c>
      <c r="P70">
        <f t="shared" si="7"/>
        <v>0</v>
      </c>
      <c r="Q70">
        <f t="shared" si="8"/>
        <v>1</v>
      </c>
      <c r="R70">
        <f t="shared" si="9"/>
        <v>0</v>
      </c>
      <c r="S70">
        <f t="shared" si="10"/>
        <v>1</v>
      </c>
      <c r="T70">
        <f t="shared" si="11"/>
        <v>0</v>
      </c>
    </row>
    <row r="71" spans="1:20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>
        <f t="shared" si="6"/>
        <v>0</v>
      </c>
      <c r="P71">
        <f t="shared" si="7"/>
        <v>0</v>
      </c>
      <c r="Q71">
        <f t="shared" si="8"/>
        <v>1</v>
      </c>
      <c r="R71">
        <f t="shared" si="9"/>
        <v>0</v>
      </c>
      <c r="S71">
        <f t="shared" si="10"/>
        <v>1</v>
      </c>
      <c r="T71">
        <f t="shared" si="11"/>
        <v>0</v>
      </c>
    </row>
    <row r="72" spans="1:20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>
        <f t="shared" si="6"/>
        <v>0</v>
      </c>
      <c r="P72">
        <f t="shared" si="7"/>
        <v>0</v>
      </c>
      <c r="Q72">
        <f t="shared" si="8"/>
        <v>1</v>
      </c>
      <c r="R72">
        <f t="shared" si="9"/>
        <v>0</v>
      </c>
      <c r="S72">
        <f t="shared" si="10"/>
        <v>1</v>
      </c>
      <c r="T72">
        <f t="shared" si="11"/>
        <v>0</v>
      </c>
    </row>
    <row r="73" spans="1:20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3.3650000000000002</v>
      </c>
      <c r="K73">
        <v>0</v>
      </c>
      <c r="L73">
        <v>3.5</v>
      </c>
      <c r="M73">
        <v>674774.09</v>
      </c>
      <c r="N73">
        <v>141917.59</v>
      </c>
      <c r="O73">
        <f t="shared" si="6"/>
        <v>0</v>
      </c>
      <c r="P73">
        <f t="shared" si="7"/>
        <v>0</v>
      </c>
      <c r="Q73">
        <f t="shared" si="8"/>
        <v>1</v>
      </c>
      <c r="R73">
        <f t="shared" si="9"/>
        <v>0</v>
      </c>
      <c r="S73">
        <f t="shared" si="10"/>
        <v>1</v>
      </c>
      <c r="T73">
        <f t="shared" si="11"/>
        <v>0</v>
      </c>
    </row>
    <row r="74" spans="1:20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>
        <f t="shared" si="6"/>
        <v>0</v>
      </c>
      <c r="P74">
        <f t="shared" si="7"/>
        <v>0</v>
      </c>
      <c r="Q74">
        <f t="shared" si="8"/>
        <v>1</v>
      </c>
      <c r="R74">
        <f t="shared" si="9"/>
        <v>0</v>
      </c>
      <c r="S74">
        <f t="shared" si="10"/>
        <v>0</v>
      </c>
      <c r="T74">
        <f t="shared" si="11"/>
        <v>0</v>
      </c>
    </row>
    <row r="75" spans="1:20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>
        <f t="shared" si="6"/>
        <v>0</v>
      </c>
      <c r="P75">
        <f t="shared" si="7"/>
        <v>0</v>
      </c>
      <c r="Q75">
        <f t="shared" si="8"/>
        <v>1</v>
      </c>
      <c r="R75">
        <f t="shared" si="9"/>
        <v>0</v>
      </c>
      <c r="S75">
        <f t="shared" si="10"/>
        <v>0</v>
      </c>
      <c r="T75">
        <f t="shared" si="11"/>
        <v>0</v>
      </c>
    </row>
    <row r="76" spans="1:20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>
        <f t="shared" si="6"/>
        <v>0</v>
      </c>
      <c r="P76">
        <f t="shared" si="7"/>
        <v>0</v>
      </c>
      <c r="Q76">
        <f t="shared" si="8"/>
        <v>1</v>
      </c>
      <c r="R76">
        <f t="shared" si="9"/>
        <v>0</v>
      </c>
      <c r="S76">
        <f t="shared" si="10"/>
        <v>0</v>
      </c>
      <c r="T76">
        <f t="shared" si="11"/>
        <v>0</v>
      </c>
    </row>
    <row r="77" spans="1:20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>
        <f t="shared" si="6"/>
        <v>0</v>
      </c>
      <c r="P77">
        <f t="shared" si="7"/>
        <v>0</v>
      </c>
      <c r="Q77">
        <f t="shared" si="8"/>
        <v>1</v>
      </c>
      <c r="R77">
        <f t="shared" si="9"/>
        <v>0</v>
      </c>
      <c r="S77">
        <f t="shared" si="10"/>
        <v>0</v>
      </c>
      <c r="T77">
        <f t="shared" si="11"/>
        <v>0</v>
      </c>
    </row>
    <row r="78" spans="1:20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>
        <f t="shared" si="6"/>
        <v>0</v>
      </c>
      <c r="P78">
        <f t="shared" si="7"/>
        <v>1</v>
      </c>
      <c r="Q78">
        <f t="shared" si="8"/>
        <v>0</v>
      </c>
      <c r="R78">
        <f t="shared" si="9"/>
        <v>0</v>
      </c>
      <c r="S78">
        <f t="shared" si="10"/>
        <v>1</v>
      </c>
      <c r="T78">
        <f t="shared" si="11"/>
        <v>0</v>
      </c>
    </row>
    <row r="79" spans="1:20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>
        <f t="shared" si="6"/>
        <v>0</v>
      </c>
      <c r="P79">
        <f t="shared" si="7"/>
        <v>1</v>
      </c>
      <c r="Q79">
        <f t="shared" si="8"/>
        <v>0</v>
      </c>
      <c r="R79">
        <f t="shared" si="9"/>
        <v>0</v>
      </c>
      <c r="S79">
        <f t="shared" si="10"/>
        <v>1</v>
      </c>
      <c r="T79">
        <f t="shared" si="11"/>
        <v>0</v>
      </c>
    </row>
    <row r="80" spans="1:20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>
        <f t="shared" si="6"/>
        <v>0</v>
      </c>
      <c r="P80">
        <f t="shared" si="7"/>
        <v>1</v>
      </c>
      <c r="Q80">
        <f t="shared" si="8"/>
        <v>0</v>
      </c>
      <c r="R80">
        <f t="shared" si="9"/>
        <v>0</v>
      </c>
      <c r="S80">
        <f t="shared" si="10"/>
        <v>1</v>
      </c>
      <c r="T80">
        <f t="shared" si="11"/>
        <v>0</v>
      </c>
    </row>
    <row r="81" spans="1:20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>
        <f t="shared" si="6"/>
        <v>0</v>
      </c>
      <c r="P81">
        <f t="shared" si="7"/>
        <v>1</v>
      </c>
      <c r="Q81">
        <f t="shared" si="8"/>
        <v>0</v>
      </c>
      <c r="R81">
        <f t="shared" si="9"/>
        <v>0</v>
      </c>
      <c r="S81">
        <f t="shared" si="10"/>
        <v>1</v>
      </c>
      <c r="T81">
        <f t="shared" si="11"/>
        <v>0</v>
      </c>
    </row>
    <row r="82" spans="1:20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>
        <f t="shared" si="6"/>
        <v>0</v>
      </c>
      <c r="P82">
        <f t="shared" si="7"/>
        <v>0</v>
      </c>
      <c r="Q82">
        <f t="shared" si="8"/>
        <v>0</v>
      </c>
      <c r="R82">
        <f t="shared" si="9"/>
        <v>1</v>
      </c>
      <c r="S82">
        <f t="shared" si="10"/>
        <v>0</v>
      </c>
      <c r="T82">
        <f t="shared" si="11"/>
        <v>0</v>
      </c>
    </row>
    <row r="83" spans="1:20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>
        <f t="shared" si="6"/>
        <v>0</v>
      </c>
      <c r="P83">
        <f t="shared" si="7"/>
        <v>0</v>
      </c>
      <c r="Q83">
        <f t="shared" si="8"/>
        <v>0</v>
      </c>
      <c r="R83">
        <f t="shared" si="9"/>
        <v>1</v>
      </c>
      <c r="S83">
        <f t="shared" si="10"/>
        <v>0</v>
      </c>
      <c r="T83">
        <f t="shared" si="11"/>
        <v>0</v>
      </c>
    </row>
    <row r="84" spans="1:20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>
        <f t="shared" si="6"/>
        <v>0</v>
      </c>
      <c r="P84">
        <f t="shared" si="7"/>
        <v>0</v>
      </c>
      <c r="Q84">
        <f t="shared" si="8"/>
        <v>0</v>
      </c>
      <c r="R84">
        <f t="shared" si="9"/>
        <v>1</v>
      </c>
      <c r="S84">
        <f t="shared" si="10"/>
        <v>0</v>
      </c>
      <c r="T84">
        <f t="shared" si="11"/>
        <v>0</v>
      </c>
    </row>
    <row r="85" spans="1:20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>
        <f t="shared" si="6"/>
        <v>0</v>
      </c>
      <c r="P85">
        <f t="shared" si="7"/>
        <v>0</v>
      </c>
      <c r="Q85">
        <f t="shared" si="8"/>
        <v>0</v>
      </c>
      <c r="R85">
        <f t="shared" si="9"/>
        <v>1</v>
      </c>
      <c r="S85">
        <f t="shared" si="10"/>
        <v>0</v>
      </c>
      <c r="T85">
        <f t="shared" si="11"/>
        <v>0</v>
      </c>
    </row>
    <row r="86" spans="1:20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>
        <f t="shared" si="6"/>
        <v>0</v>
      </c>
      <c r="P86">
        <f t="shared" si="7"/>
        <v>0</v>
      </c>
      <c r="Q86">
        <f t="shared" si="8"/>
        <v>0</v>
      </c>
      <c r="R86">
        <f t="shared" si="9"/>
        <v>0</v>
      </c>
      <c r="S86">
        <f t="shared" si="10"/>
        <v>1</v>
      </c>
      <c r="T86">
        <f t="shared" si="11"/>
        <v>0</v>
      </c>
    </row>
    <row r="87" spans="1:20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 s="4">
        <v>3.9246794871794881</v>
      </c>
      <c r="M87">
        <v>611766.72</v>
      </c>
      <c r="N87">
        <v>88275.61</v>
      </c>
      <c r="O87">
        <f t="shared" si="6"/>
        <v>0</v>
      </c>
      <c r="P87">
        <f t="shared" si="7"/>
        <v>0</v>
      </c>
      <c r="Q87">
        <f t="shared" si="8"/>
        <v>0</v>
      </c>
      <c r="R87">
        <f t="shared" si="9"/>
        <v>0</v>
      </c>
      <c r="S87">
        <f t="shared" si="10"/>
        <v>1</v>
      </c>
      <c r="T87">
        <f t="shared" si="11"/>
        <v>0</v>
      </c>
    </row>
    <row r="88" spans="1:20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>
        <f t="shared" si="6"/>
        <v>0</v>
      </c>
      <c r="P88">
        <f t="shared" si="7"/>
        <v>0</v>
      </c>
      <c r="Q88">
        <f t="shared" si="8"/>
        <v>0</v>
      </c>
      <c r="R88">
        <f t="shared" si="9"/>
        <v>0</v>
      </c>
      <c r="S88">
        <f t="shared" si="10"/>
        <v>1</v>
      </c>
      <c r="T88">
        <f t="shared" si="11"/>
        <v>0</v>
      </c>
    </row>
    <row r="89" spans="1:20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>
        <f t="shared" si="6"/>
        <v>0</v>
      </c>
      <c r="P89">
        <f t="shared" si="7"/>
        <v>0</v>
      </c>
      <c r="Q89">
        <f t="shared" si="8"/>
        <v>0</v>
      </c>
      <c r="R89">
        <f t="shared" si="9"/>
        <v>0</v>
      </c>
      <c r="S89">
        <f t="shared" si="10"/>
        <v>1</v>
      </c>
      <c r="T89">
        <f t="shared" si="11"/>
        <v>0</v>
      </c>
    </row>
    <row r="90" spans="1:20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>
        <f t="shared" si="6"/>
        <v>0</v>
      </c>
      <c r="P90">
        <f t="shared" si="7"/>
        <v>1</v>
      </c>
      <c r="Q90">
        <f t="shared" si="8"/>
        <v>0</v>
      </c>
      <c r="R90">
        <f t="shared" si="9"/>
        <v>1</v>
      </c>
      <c r="S90">
        <f t="shared" si="10"/>
        <v>0</v>
      </c>
      <c r="T90">
        <f t="shared" si="11"/>
        <v>0</v>
      </c>
    </row>
    <row r="91" spans="1:20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>
        <f t="shared" si="6"/>
        <v>0</v>
      </c>
      <c r="P91">
        <f t="shared" si="7"/>
        <v>1</v>
      </c>
      <c r="Q91">
        <f t="shared" si="8"/>
        <v>0</v>
      </c>
      <c r="R91">
        <f t="shared" si="9"/>
        <v>1</v>
      </c>
      <c r="S91">
        <f t="shared" si="10"/>
        <v>0</v>
      </c>
      <c r="T91">
        <f t="shared" si="11"/>
        <v>0</v>
      </c>
    </row>
    <row r="92" spans="1:20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>
        <f t="shared" si="6"/>
        <v>0</v>
      </c>
      <c r="P92">
        <f t="shared" si="7"/>
        <v>1</v>
      </c>
      <c r="Q92">
        <f t="shared" si="8"/>
        <v>0</v>
      </c>
      <c r="R92">
        <f t="shared" si="9"/>
        <v>1</v>
      </c>
      <c r="S92">
        <f t="shared" si="10"/>
        <v>0</v>
      </c>
      <c r="T92">
        <f t="shared" si="11"/>
        <v>0</v>
      </c>
    </row>
    <row r="93" spans="1:20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>
        <f t="shared" si="6"/>
        <v>0</v>
      </c>
      <c r="P93">
        <f t="shared" si="7"/>
        <v>1</v>
      </c>
      <c r="Q93">
        <f t="shared" si="8"/>
        <v>0</v>
      </c>
      <c r="R93">
        <f t="shared" si="9"/>
        <v>1</v>
      </c>
      <c r="S93">
        <f t="shared" si="10"/>
        <v>0</v>
      </c>
      <c r="T93">
        <f t="shared" si="11"/>
        <v>0</v>
      </c>
    </row>
    <row r="94" spans="1:20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>
        <f t="shared" si="6"/>
        <v>0</v>
      </c>
      <c r="P94">
        <f t="shared" si="7"/>
        <v>0</v>
      </c>
      <c r="Q94">
        <f t="shared" si="8"/>
        <v>0</v>
      </c>
      <c r="R94">
        <f t="shared" si="9"/>
        <v>0</v>
      </c>
      <c r="S94">
        <f t="shared" si="10"/>
        <v>0</v>
      </c>
      <c r="T94">
        <f t="shared" si="11"/>
        <v>0</v>
      </c>
    </row>
    <row r="95" spans="1:20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>
        <f t="shared" si="6"/>
        <v>0</v>
      </c>
      <c r="P95">
        <f t="shared" si="7"/>
        <v>0</v>
      </c>
      <c r="Q95">
        <f t="shared" si="8"/>
        <v>0</v>
      </c>
      <c r="R95">
        <f t="shared" si="9"/>
        <v>0</v>
      </c>
      <c r="S95">
        <f t="shared" si="10"/>
        <v>0</v>
      </c>
      <c r="T95">
        <f t="shared" si="11"/>
        <v>0</v>
      </c>
    </row>
    <row r="96" spans="1:20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>
        <f t="shared" si="6"/>
        <v>0</v>
      </c>
      <c r="P96">
        <f t="shared" si="7"/>
        <v>0</v>
      </c>
      <c r="Q96">
        <f t="shared" si="8"/>
        <v>0</v>
      </c>
      <c r="R96">
        <f t="shared" si="9"/>
        <v>0</v>
      </c>
      <c r="S96">
        <f t="shared" si="10"/>
        <v>0</v>
      </c>
      <c r="T96">
        <f t="shared" si="11"/>
        <v>0</v>
      </c>
    </row>
    <row r="97" spans="1:20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>
        <f t="shared" si="6"/>
        <v>0</v>
      </c>
      <c r="P97">
        <f t="shared" si="7"/>
        <v>0</v>
      </c>
      <c r="Q97">
        <f t="shared" si="8"/>
        <v>0</v>
      </c>
      <c r="R97">
        <f t="shared" si="9"/>
        <v>0</v>
      </c>
      <c r="S97">
        <f t="shared" si="10"/>
        <v>0</v>
      </c>
      <c r="T97">
        <f t="shared" si="11"/>
        <v>0</v>
      </c>
    </row>
    <row r="98" spans="1:20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>
        <f t="shared" si="6"/>
        <v>0</v>
      </c>
      <c r="P98">
        <f t="shared" si="7"/>
        <v>0</v>
      </c>
      <c r="Q98">
        <f t="shared" si="8"/>
        <v>0</v>
      </c>
      <c r="R98">
        <f t="shared" si="9"/>
        <v>1</v>
      </c>
      <c r="S98">
        <f t="shared" si="10"/>
        <v>0</v>
      </c>
      <c r="T98">
        <f t="shared" si="11"/>
        <v>0</v>
      </c>
    </row>
    <row r="99" spans="1:20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>
        <f t="shared" si="6"/>
        <v>0</v>
      </c>
      <c r="P99">
        <f t="shared" si="7"/>
        <v>0</v>
      </c>
      <c r="Q99">
        <f t="shared" si="8"/>
        <v>0</v>
      </c>
      <c r="R99">
        <f t="shared" si="9"/>
        <v>1</v>
      </c>
      <c r="S99">
        <f t="shared" si="10"/>
        <v>0</v>
      </c>
      <c r="T99">
        <f t="shared" si="11"/>
        <v>0</v>
      </c>
    </row>
    <row r="100" spans="1:20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3.3650000000000002</v>
      </c>
      <c r="K100">
        <v>0</v>
      </c>
      <c r="L100">
        <v>4.3</v>
      </c>
      <c r="M100">
        <v>605775.32999999996</v>
      </c>
      <c r="N100">
        <v>107194.6</v>
      </c>
      <c r="O100">
        <f t="shared" si="6"/>
        <v>0</v>
      </c>
      <c r="P100">
        <f t="shared" si="7"/>
        <v>0</v>
      </c>
      <c r="Q100">
        <f t="shared" si="8"/>
        <v>0</v>
      </c>
      <c r="R100">
        <f t="shared" si="9"/>
        <v>1</v>
      </c>
      <c r="S100">
        <f t="shared" si="10"/>
        <v>0</v>
      </c>
      <c r="T100">
        <f t="shared" si="11"/>
        <v>0</v>
      </c>
    </row>
    <row r="101" spans="1:20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>
        <f t="shared" si="6"/>
        <v>0</v>
      </c>
      <c r="P101">
        <f t="shared" si="7"/>
        <v>0</v>
      </c>
      <c r="Q101">
        <f t="shared" si="8"/>
        <v>0</v>
      </c>
      <c r="R101">
        <f t="shared" si="9"/>
        <v>1</v>
      </c>
      <c r="S101">
        <f t="shared" si="10"/>
        <v>0</v>
      </c>
      <c r="T101">
        <f t="shared" si="11"/>
        <v>0</v>
      </c>
    </row>
    <row r="102" spans="1:20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>
        <f t="shared" si="6"/>
        <v>0</v>
      </c>
      <c r="P102">
        <f t="shared" si="7"/>
        <v>0</v>
      </c>
      <c r="Q102">
        <f t="shared" si="8"/>
        <v>1</v>
      </c>
      <c r="R102">
        <f t="shared" si="9"/>
        <v>1</v>
      </c>
      <c r="S102">
        <f t="shared" si="10"/>
        <v>0</v>
      </c>
      <c r="T102">
        <f t="shared" si="11"/>
        <v>0</v>
      </c>
    </row>
    <row r="103" spans="1:20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>
        <f t="shared" si="6"/>
        <v>0</v>
      </c>
      <c r="P103">
        <f t="shared" si="7"/>
        <v>0</v>
      </c>
      <c r="Q103">
        <f t="shared" si="8"/>
        <v>1</v>
      </c>
      <c r="R103">
        <f t="shared" si="9"/>
        <v>1</v>
      </c>
      <c r="S103">
        <f t="shared" si="10"/>
        <v>0</v>
      </c>
      <c r="T103">
        <f t="shared" si="11"/>
        <v>0</v>
      </c>
    </row>
    <row r="104" spans="1:20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>
        <f t="shared" si="6"/>
        <v>0</v>
      </c>
      <c r="P104">
        <f t="shared" si="7"/>
        <v>0</v>
      </c>
      <c r="Q104">
        <f t="shared" si="8"/>
        <v>1</v>
      </c>
      <c r="R104">
        <f t="shared" si="9"/>
        <v>1</v>
      </c>
      <c r="S104">
        <f t="shared" si="10"/>
        <v>0</v>
      </c>
      <c r="T104">
        <f t="shared" si="11"/>
        <v>0</v>
      </c>
    </row>
    <row r="105" spans="1:20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>
        <f t="shared" si="6"/>
        <v>0</v>
      </c>
      <c r="P105">
        <f t="shared" si="7"/>
        <v>0</v>
      </c>
      <c r="Q105">
        <f t="shared" si="8"/>
        <v>1</v>
      </c>
      <c r="R105">
        <f t="shared" si="9"/>
        <v>1</v>
      </c>
      <c r="S105">
        <f t="shared" si="10"/>
        <v>0</v>
      </c>
      <c r="T105">
        <f t="shared" si="11"/>
        <v>0</v>
      </c>
    </row>
    <row r="106" spans="1:20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>
        <f t="shared" si="6"/>
        <v>0</v>
      </c>
      <c r="P106">
        <f t="shared" si="7"/>
        <v>0</v>
      </c>
      <c r="Q106">
        <f t="shared" si="8"/>
        <v>0</v>
      </c>
      <c r="R106">
        <f t="shared" si="9"/>
        <v>0</v>
      </c>
      <c r="S106">
        <f t="shared" si="10"/>
        <v>1</v>
      </c>
      <c r="T106">
        <f t="shared" si="11"/>
        <v>0</v>
      </c>
    </row>
    <row r="107" spans="1:20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>
        <f t="shared" si="6"/>
        <v>0</v>
      </c>
      <c r="P107">
        <f t="shared" si="7"/>
        <v>0</v>
      </c>
      <c r="Q107">
        <f t="shared" si="8"/>
        <v>0</v>
      </c>
      <c r="R107">
        <f t="shared" si="9"/>
        <v>0</v>
      </c>
      <c r="S107">
        <f t="shared" si="10"/>
        <v>1</v>
      </c>
      <c r="T107">
        <f t="shared" si="11"/>
        <v>0</v>
      </c>
    </row>
    <row r="108" spans="1:20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>
        <f t="shared" si="6"/>
        <v>0</v>
      </c>
      <c r="P108">
        <f t="shared" si="7"/>
        <v>0</v>
      </c>
      <c r="Q108">
        <f t="shared" si="8"/>
        <v>0</v>
      </c>
      <c r="R108">
        <f t="shared" si="9"/>
        <v>0</v>
      </c>
      <c r="S108">
        <f t="shared" si="10"/>
        <v>1</v>
      </c>
      <c r="T108">
        <f t="shared" si="11"/>
        <v>0</v>
      </c>
    </row>
    <row r="109" spans="1:20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>
        <f t="shared" si="6"/>
        <v>0</v>
      </c>
      <c r="P109">
        <f t="shared" si="7"/>
        <v>0</v>
      </c>
      <c r="Q109">
        <f t="shared" si="8"/>
        <v>0</v>
      </c>
      <c r="R109">
        <f t="shared" si="9"/>
        <v>0</v>
      </c>
      <c r="S109">
        <f t="shared" si="10"/>
        <v>1</v>
      </c>
      <c r="T109">
        <f t="shared" si="11"/>
        <v>0</v>
      </c>
    </row>
    <row r="110" spans="1:20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>
        <f t="shared" si="6"/>
        <v>0</v>
      </c>
      <c r="P110">
        <f t="shared" si="7"/>
        <v>0</v>
      </c>
      <c r="Q110">
        <f t="shared" si="8"/>
        <v>1</v>
      </c>
      <c r="R110">
        <f t="shared" si="9"/>
        <v>1</v>
      </c>
      <c r="S110">
        <f t="shared" si="10"/>
        <v>0</v>
      </c>
      <c r="T110">
        <f t="shared" si="11"/>
        <v>0</v>
      </c>
    </row>
    <row r="111" spans="1:20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>
        <f t="shared" si="6"/>
        <v>0</v>
      </c>
      <c r="P111">
        <f t="shared" si="7"/>
        <v>0</v>
      </c>
      <c r="Q111">
        <f t="shared" si="8"/>
        <v>1</v>
      </c>
      <c r="R111">
        <f t="shared" si="9"/>
        <v>1</v>
      </c>
      <c r="S111">
        <f t="shared" si="10"/>
        <v>0</v>
      </c>
      <c r="T111">
        <f t="shared" si="11"/>
        <v>0</v>
      </c>
    </row>
    <row r="112" spans="1:20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>
        <f t="shared" si="6"/>
        <v>0</v>
      </c>
      <c r="P112">
        <f t="shared" si="7"/>
        <v>0</v>
      </c>
      <c r="Q112">
        <f t="shared" si="8"/>
        <v>1</v>
      </c>
      <c r="R112">
        <f t="shared" si="9"/>
        <v>1</v>
      </c>
      <c r="S112">
        <f t="shared" si="10"/>
        <v>0</v>
      </c>
      <c r="T112">
        <f t="shared" si="11"/>
        <v>0</v>
      </c>
    </row>
    <row r="113" spans="1:20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>
        <f t="shared" si="6"/>
        <v>0</v>
      </c>
      <c r="P113">
        <f t="shared" si="7"/>
        <v>0</v>
      </c>
      <c r="Q113">
        <f t="shared" si="8"/>
        <v>1</v>
      </c>
      <c r="R113">
        <f t="shared" si="9"/>
        <v>1</v>
      </c>
      <c r="S113">
        <f t="shared" si="10"/>
        <v>0</v>
      </c>
      <c r="T113">
        <f t="shared" si="11"/>
        <v>0</v>
      </c>
    </row>
    <row r="114" spans="1:20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>
        <f t="shared" si="6"/>
        <v>0</v>
      </c>
      <c r="P114">
        <f t="shared" si="7"/>
        <v>0</v>
      </c>
      <c r="Q114">
        <f t="shared" si="8"/>
        <v>0</v>
      </c>
      <c r="R114">
        <f t="shared" si="9"/>
        <v>1</v>
      </c>
      <c r="S114">
        <f t="shared" si="10"/>
        <v>0</v>
      </c>
      <c r="T114">
        <f t="shared" si="11"/>
        <v>0</v>
      </c>
    </row>
    <row r="115" spans="1:20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>
        <f t="shared" si="6"/>
        <v>0</v>
      </c>
      <c r="P115">
        <f t="shared" si="7"/>
        <v>0</v>
      </c>
      <c r="Q115">
        <f t="shared" si="8"/>
        <v>0</v>
      </c>
      <c r="R115">
        <f t="shared" si="9"/>
        <v>1</v>
      </c>
      <c r="S115">
        <f t="shared" si="10"/>
        <v>0</v>
      </c>
      <c r="T115">
        <f t="shared" si="11"/>
        <v>0</v>
      </c>
    </row>
    <row r="116" spans="1:20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>
        <f t="shared" si="6"/>
        <v>0</v>
      </c>
      <c r="P116">
        <f t="shared" si="7"/>
        <v>0</v>
      </c>
      <c r="Q116">
        <f t="shared" si="8"/>
        <v>0</v>
      </c>
      <c r="R116">
        <f t="shared" si="9"/>
        <v>1</v>
      </c>
      <c r="S116">
        <f t="shared" si="10"/>
        <v>0</v>
      </c>
      <c r="T116">
        <f t="shared" si="11"/>
        <v>0</v>
      </c>
    </row>
    <row r="117" spans="1:20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>
        <f t="shared" si="6"/>
        <v>0</v>
      </c>
      <c r="P117">
        <f t="shared" si="7"/>
        <v>0</v>
      </c>
      <c r="Q117">
        <f t="shared" si="8"/>
        <v>0</v>
      </c>
      <c r="R117">
        <f t="shared" si="9"/>
        <v>1</v>
      </c>
      <c r="S117">
        <f t="shared" si="10"/>
        <v>0</v>
      </c>
      <c r="T117">
        <f t="shared" si="11"/>
        <v>0</v>
      </c>
    </row>
    <row r="118" spans="1:20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>
        <f t="shared" si="6"/>
        <v>0</v>
      </c>
      <c r="P118">
        <f t="shared" si="7"/>
        <v>0</v>
      </c>
      <c r="Q118">
        <f t="shared" si="8"/>
        <v>0</v>
      </c>
      <c r="R118">
        <f t="shared" si="9"/>
        <v>0</v>
      </c>
      <c r="S118">
        <f t="shared" si="10"/>
        <v>0</v>
      </c>
      <c r="T118">
        <f t="shared" si="11"/>
        <v>0</v>
      </c>
    </row>
    <row r="119" spans="1:20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>
        <f t="shared" si="6"/>
        <v>0</v>
      </c>
      <c r="P119">
        <f t="shared" si="7"/>
        <v>0</v>
      </c>
      <c r="Q119">
        <f t="shared" si="8"/>
        <v>0</v>
      </c>
      <c r="R119">
        <f t="shared" si="9"/>
        <v>0</v>
      </c>
      <c r="S119">
        <f t="shared" si="10"/>
        <v>0</v>
      </c>
      <c r="T119">
        <f t="shared" si="11"/>
        <v>0</v>
      </c>
    </row>
    <row r="120" spans="1:20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>
        <f t="shared" si="6"/>
        <v>0</v>
      </c>
      <c r="P120">
        <f t="shared" si="7"/>
        <v>0</v>
      </c>
      <c r="Q120">
        <f t="shared" si="8"/>
        <v>0</v>
      </c>
      <c r="R120">
        <f t="shared" si="9"/>
        <v>0</v>
      </c>
      <c r="S120">
        <f t="shared" si="10"/>
        <v>0</v>
      </c>
      <c r="T120">
        <f t="shared" si="11"/>
        <v>0</v>
      </c>
    </row>
    <row r="121" spans="1:20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>
        <f t="shared" si="6"/>
        <v>0</v>
      </c>
      <c r="P121">
        <f t="shared" si="7"/>
        <v>0</v>
      </c>
      <c r="Q121">
        <f t="shared" si="8"/>
        <v>0</v>
      </c>
      <c r="R121">
        <f t="shared" si="9"/>
        <v>0</v>
      </c>
      <c r="S121">
        <f t="shared" si="10"/>
        <v>0</v>
      </c>
      <c r="T121">
        <f t="shared" si="11"/>
        <v>0</v>
      </c>
    </row>
    <row r="122" spans="1:20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>
        <f t="shared" si="6"/>
        <v>1</v>
      </c>
      <c r="P122">
        <f t="shared" si="7"/>
        <v>0</v>
      </c>
      <c r="Q122">
        <f t="shared" si="8"/>
        <v>0</v>
      </c>
      <c r="R122">
        <f t="shared" si="9"/>
        <v>0</v>
      </c>
      <c r="S122">
        <f t="shared" si="10"/>
        <v>1</v>
      </c>
      <c r="T122">
        <f t="shared" si="11"/>
        <v>0</v>
      </c>
    </row>
    <row r="123" spans="1:20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>
        <f t="shared" si="6"/>
        <v>1</v>
      </c>
      <c r="P123">
        <f t="shared" si="7"/>
        <v>0</v>
      </c>
      <c r="Q123">
        <f t="shared" si="8"/>
        <v>0</v>
      </c>
      <c r="R123">
        <f t="shared" si="9"/>
        <v>0</v>
      </c>
      <c r="S123">
        <f t="shared" si="10"/>
        <v>1</v>
      </c>
      <c r="T123">
        <f t="shared" si="11"/>
        <v>0</v>
      </c>
    </row>
    <row r="124" spans="1:20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>
        <f t="shared" si="6"/>
        <v>1</v>
      </c>
      <c r="P124">
        <f t="shared" si="7"/>
        <v>0</v>
      </c>
      <c r="Q124">
        <f t="shared" si="8"/>
        <v>0</v>
      </c>
      <c r="R124">
        <f t="shared" si="9"/>
        <v>0</v>
      </c>
      <c r="S124">
        <f t="shared" si="10"/>
        <v>1</v>
      </c>
      <c r="T124">
        <f t="shared" si="11"/>
        <v>0</v>
      </c>
    </row>
    <row r="125" spans="1:20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>
        <f t="shared" si="6"/>
        <v>1</v>
      </c>
      <c r="P125">
        <f t="shared" si="7"/>
        <v>0</v>
      </c>
      <c r="Q125">
        <f t="shared" si="8"/>
        <v>0</v>
      </c>
      <c r="R125">
        <f t="shared" si="9"/>
        <v>0</v>
      </c>
      <c r="S125">
        <f t="shared" si="10"/>
        <v>1</v>
      </c>
      <c r="T125">
        <f t="shared" si="11"/>
        <v>0</v>
      </c>
    </row>
    <row r="126" spans="1:20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>
        <f t="shared" si="6"/>
        <v>0</v>
      </c>
      <c r="P126">
        <f t="shared" si="7"/>
        <v>1</v>
      </c>
      <c r="Q126">
        <f t="shared" si="8"/>
        <v>0</v>
      </c>
      <c r="R126">
        <f t="shared" si="9"/>
        <v>0</v>
      </c>
      <c r="S126">
        <f t="shared" si="10"/>
        <v>1</v>
      </c>
      <c r="T126">
        <f t="shared" si="11"/>
        <v>0</v>
      </c>
    </row>
    <row r="127" spans="1:20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>
        <f t="shared" si="6"/>
        <v>0</v>
      </c>
      <c r="P127">
        <f t="shared" si="7"/>
        <v>1</v>
      </c>
      <c r="Q127">
        <f t="shared" si="8"/>
        <v>0</v>
      </c>
      <c r="R127">
        <f t="shared" si="9"/>
        <v>0</v>
      </c>
      <c r="S127">
        <f t="shared" si="10"/>
        <v>1</v>
      </c>
      <c r="T127">
        <f t="shared" si="11"/>
        <v>0</v>
      </c>
    </row>
    <row r="128" spans="1:20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>
        <f t="shared" si="6"/>
        <v>0</v>
      </c>
      <c r="P128">
        <f t="shared" si="7"/>
        <v>1</v>
      </c>
      <c r="Q128">
        <f t="shared" si="8"/>
        <v>0</v>
      </c>
      <c r="R128">
        <f t="shared" si="9"/>
        <v>0</v>
      </c>
      <c r="S128">
        <f t="shared" si="10"/>
        <v>1</v>
      </c>
      <c r="T128">
        <f t="shared" si="11"/>
        <v>0</v>
      </c>
    </row>
    <row r="129" spans="1:20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>
        <f t="shared" si="6"/>
        <v>0</v>
      </c>
      <c r="P129">
        <f t="shared" si="7"/>
        <v>1</v>
      </c>
      <c r="Q129">
        <f t="shared" si="8"/>
        <v>0</v>
      </c>
      <c r="R129">
        <f t="shared" si="9"/>
        <v>0</v>
      </c>
      <c r="S129">
        <f t="shared" si="10"/>
        <v>1</v>
      </c>
      <c r="T129">
        <f t="shared" si="11"/>
        <v>0</v>
      </c>
    </row>
    <row r="130" spans="1:20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>
        <f t="shared" si="6"/>
        <v>0</v>
      </c>
      <c r="P130">
        <f t="shared" si="7"/>
        <v>0</v>
      </c>
      <c r="Q130">
        <f t="shared" si="8"/>
        <v>1</v>
      </c>
      <c r="R130">
        <f t="shared" si="9"/>
        <v>0</v>
      </c>
      <c r="S130">
        <f t="shared" si="10"/>
        <v>1</v>
      </c>
      <c r="T130">
        <f t="shared" si="11"/>
        <v>0</v>
      </c>
    </row>
    <row r="131" spans="1:20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>
        <f t="shared" ref="O131:O194" si="12">IF(C131="North",1,0)</f>
        <v>0</v>
      </c>
      <c r="P131">
        <f t="shared" ref="P131:P194" si="13">IF(C131="South",1,0)</f>
        <v>0</v>
      </c>
      <c r="Q131">
        <f t="shared" ref="Q131:Q194" si="14">IF(C131="East",1,0)</f>
        <v>1</v>
      </c>
      <c r="R131">
        <f t="shared" ref="R131:R194" si="15">IF(D131="Mall",1,0)</f>
        <v>0</v>
      </c>
      <c r="S131">
        <f t="shared" ref="S131:S194" si="16">IF(D131="High Street",1,0)</f>
        <v>1</v>
      </c>
      <c r="T131">
        <f t="shared" ref="T131:T194" si="17">IF(D131="Airport",1,0)</f>
        <v>0</v>
      </c>
    </row>
    <row r="132" spans="1:20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>
        <f t="shared" si="12"/>
        <v>0</v>
      </c>
      <c r="P132">
        <f t="shared" si="13"/>
        <v>0</v>
      </c>
      <c r="Q132">
        <f t="shared" si="14"/>
        <v>1</v>
      </c>
      <c r="R132">
        <f t="shared" si="15"/>
        <v>0</v>
      </c>
      <c r="S132">
        <f t="shared" si="16"/>
        <v>1</v>
      </c>
      <c r="T132">
        <f t="shared" si="17"/>
        <v>0</v>
      </c>
    </row>
    <row r="133" spans="1:20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>
        <f t="shared" si="12"/>
        <v>0</v>
      </c>
      <c r="P133">
        <f t="shared" si="13"/>
        <v>0</v>
      </c>
      <c r="Q133">
        <f t="shared" si="14"/>
        <v>1</v>
      </c>
      <c r="R133">
        <f t="shared" si="15"/>
        <v>0</v>
      </c>
      <c r="S133">
        <f t="shared" si="16"/>
        <v>1</v>
      </c>
      <c r="T133">
        <f t="shared" si="17"/>
        <v>0</v>
      </c>
    </row>
    <row r="134" spans="1:20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>
        <f t="shared" si="12"/>
        <v>1</v>
      </c>
      <c r="P134">
        <f t="shared" si="13"/>
        <v>0</v>
      </c>
      <c r="Q134">
        <f t="shared" si="14"/>
        <v>0</v>
      </c>
      <c r="R134">
        <f t="shared" si="15"/>
        <v>0</v>
      </c>
      <c r="S134">
        <f t="shared" si="16"/>
        <v>1</v>
      </c>
      <c r="T134">
        <f t="shared" si="17"/>
        <v>0</v>
      </c>
    </row>
    <row r="135" spans="1:20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 s="4">
        <v>3.9246794871794881</v>
      </c>
      <c r="M135">
        <v>400831.65</v>
      </c>
      <c r="N135">
        <v>70979.31</v>
      </c>
      <c r="O135">
        <f t="shared" si="12"/>
        <v>1</v>
      </c>
      <c r="P135">
        <f t="shared" si="13"/>
        <v>0</v>
      </c>
      <c r="Q135">
        <f t="shared" si="14"/>
        <v>0</v>
      </c>
      <c r="R135">
        <f t="shared" si="15"/>
        <v>0</v>
      </c>
      <c r="S135">
        <f t="shared" si="16"/>
        <v>1</v>
      </c>
      <c r="T135">
        <f t="shared" si="17"/>
        <v>0</v>
      </c>
    </row>
    <row r="136" spans="1:20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>
        <f t="shared" si="12"/>
        <v>1</v>
      </c>
      <c r="P136">
        <f t="shared" si="13"/>
        <v>0</v>
      </c>
      <c r="Q136">
        <f t="shared" si="14"/>
        <v>0</v>
      </c>
      <c r="R136">
        <f t="shared" si="15"/>
        <v>0</v>
      </c>
      <c r="S136">
        <f t="shared" si="16"/>
        <v>1</v>
      </c>
      <c r="T136">
        <f t="shared" si="17"/>
        <v>0</v>
      </c>
    </row>
    <row r="137" spans="1:20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>
        <f t="shared" si="12"/>
        <v>1</v>
      </c>
      <c r="P137">
        <f t="shared" si="13"/>
        <v>0</v>
      </c>
      <c r="Q137">
        <f t="shared" si="14"/>
        <v>0</v>
      </c>
      <c r="R137">
        <f t="shared" si="15"/>
        <v>0</v>
      </c>
      <c r="S137">
        <f t="shared" si="16"/>
        <v>1</v>
      </c>
      <c r="T137">
        <f t="shared" si="17"/>
        <v>0</v>
      </c>
    </row>
    <row r="138" spans="1:20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 s="4">
        <v>3.9246794871794881</v>
      </c>
      <c r="M138">
        <v>633638.03</v>
      </c>
      <c r="N138">
        <v>99402.01</v>
      </c>
      <c r="O138">
        <f t="shared" si="12"/>
        <v>0</v>
      </c>
      <c r="P138">
        <f t="shared" si="13"/>
        <v>1</v>
      </c>
      <c r="Q138">
        <f t="shared" si="14"/>
        <v>0</v>
      </c>
      <c r="R138">
        <f t="shared" si="15"/>
        <v>0</v>
      </c>
      <c r="S138">
        <f t="shared" si="16"/>
        <v>0</v>
      </c>
      <c r="T138">
        <f t="shared" si="17"/>
        <v>0</v>
      </c>
    </row>
    <row r="139" spans="1:20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>
        <f t="shared" si="12"/>
        <v>0</v>
      </c>
      <c r="P139">
        <f t="shared" si="13"/>
        <v>1</v>
      </c>
      <c r="Q139">
        <f t="shared" si="14"/>
        <v>0</v>
      </c>
      <c r="R139">
        <f t="shared" si="15"/>
        <v>0</v>
      </c>
      <c r="S139">
        <f t="shared" si="16"/>
        <v>0</v>
      </c>
      <c r="T139">
        <f t="shared" si="17"/>
        <v>0</v>
      </c>
    </row>
    <row r="140" spans="1:20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>
        <f t="shared" si="12"/>
        <v>0</v>
      </c>
      <c r="P140">
        <f t="shared" si="13"/>
        <v>1</v>
      </c>
      <c r="Q140">
        <f t="shared" si="14"/>
        <v>0</v>
      </c>
      <c r="R140">
        <f t="shared" si="15"/>
        <v>0</v>
      </c>
      <c r="S140">
        <f t="shared" si="16"/>
        <v>0</v>
      </c>
      <c r="T140">
        <f t="shared" si="17"/>
        <v>0</v>
      </c>
    </row>
    <row r="141" spans="1:20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>
        <f t="shared" si="12"/>
        <v>0</v>
      </c>
      <c r="P141">
        <f t="shared" si="13"/>
        <v>1</v>
      </c>
      <c r="Q141">
        <f t="shared" si="14"/>
        <v>0</v>
      </c>
      <c r="R141">
        <f t="shared" si="15"/>
        <v>0</v>
      </c>
      <c r="S141">
        <f t="shared" si="16"/>
        <v>0</v>
      </c>
      <c r="T141">
        <f t="shared" si="17"/>
        <v>0</v>
      </c>
    </row>
    <row r="142" spans="1:20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>
        <f t="shared" si="12"/>
        <v>0</v>
      </c>
      <c r="P142">
        <f t="shared" si="13"/>
        <v>0</v>
      </c>
      <c r="Q142">
        <f t="shared" si="14"/>
        <v>0</v>
      </c>
      <c r="R142">
        <f t="shared" si="15"/>
        <v>0</v>
      </c>
      <c r="S142">
        <f t="shared" si="16"/>
        <v>1</v>
      </c>
      <c r="T142">
        <f t="shared" si="17"/>
        <v>0</v>
      </c>
    </row>
    <row r="143" spans="1:20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>
        <f t="shared" si="12"/>
        <v>0</v>
      </c>
      <c r="P143">
        <f t="shared" si="13"/>
        <v>0</v>
      </c>
      <c r="Q143">
        <f t="shared" si="14"/>
        <v>0</v>
      </c>
      <c r="R143">
        <f t="shared" si="15"/>
        <v>0</v>
      </c>
      <c r="S143">
        <f t="shared" si="16"/>
        <v>1</v>
      </c>
      <c r="T143">
        <f t="shared" si="17"/>
        <v>0</v>
      </c>
    </row>
    <row r="144" spans="1:20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>
        <f t="shared" si="12"/>
        <v>0</v>
      </c>
      <c r="P144">
        <f t="shared" si="13"/>
        <v>0</v>
      </c>
      <c r="Q144">
        <f t="shared" si="14"/>
        <v>0</v>
      </c>
      <c r="R144">
        <f t="shared" si="15"/>
        <v>0</v>
      </c>
      <c r="S144">
        <f t="shared" si="16"/>
        <v>1</v>
      </c>
      <c r="T144">
        <f t="shared" si="17"/>
        <v>0</v>
      </c>
    </row>
    <row r="145" spans="1:20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>
        <f t="shared" si="12"/>
        <v>0</v>
      </c>
      <c r="P145">
        <f t="shared" si="13"/>
        <v>0</v>
      </c>
      <c r="Q145">
        <f t="shared" si="14"/>
        <v>0</v>
      </c>
      <c r="R145">
        <f t="shared" si="15"/>
        <v>0</v>
      </c>
      <c r="S145">
        <f t="shared" si="16"/>
        <v>1</v>
      </c>
      <c r="T145">
        <f t="shared" si="17"/>
        <v>0</v>
      </c>
    </row>
    <row r="146" spans="1:20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>
        <f t="shared" si="12"/>
        <v>1</v>
      </c>
      <c r="P146">
        <f t="shared" si="13"/>
        <v>0</v>
      </c>
      <c r="Q146">
        <f t="shared" si="14"/>
        <v>0</v>
      </c>
      <c r="R146">
        <f t="shared" si="15"/>
        <v>0</v>
      </c>
      <c r="S146">
        <f t="shared" si="16"/>
        <v>0</v>
      </c>
      <c r="T146">
        <f t="shared" si="17"/>
        <v>0</v>
      </c>
    </row>
    <row r="147" spans="1:20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>
        <f t="shared" si="12"/>
        <v>1</v>
      </c>
      <c r="P147">
        <f t="shared" si="13"/>
        <v>0</v>
      </c>
      <c r="Q147">
        <f t="shared" si="14"/>
        <v>0</v>
      </c>
      <c r="R147">
        <f t="shared" si="15"/>
        <v>0</v>
      </c>
      <c r="S147">
        <f t="shared" si="16"/>
        <v>0</v>
      </c>
      <c r="T147">
        <f t="shared" si="17"/>
        <v>0</v>
      </c>
    </row>
    <row r="148" spans="1:20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>
        <f t="shared" si="12"/>
        <v>1</v>
      </c>
      <c r="P148">
        <f t="shared" si="13"/>
        <v>0</v>
      </c>
      <c r="Q148">
        <f t="shared" si="14"/>
        <v>0</v>
      </c>
      <c r="R148">
        <f t="shared" si="15"/>
        <v>0</v>
      </c>
      <c r="S148">
        <f t="shared" si="16"/>
        <v>0</v>
      </c>
      <c r="T148">
        <f t="shared" si="17"/>
        <v>0</v>
      </c>
    </row>
    <row r="149" spans="1:20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>
        <f t="shared" si="12"/>
        <v>1</v>
      </c>
      <c r="P149">
        <f t="shared" si="13"/>
        <v>0</v>
      </c>
      <c r="Q149">
        <f t="shared" si="14"/>
        <v>0</v>
      </c>
      <c r="R149">
        <f t="shared" si="15"/>
        <v>0</v>
      </c>
      <c r="S149">
        <f t="shared" si="16"/>
        <v>0</v>
      </c>
      <c r="T149">
        <f t="shared" si="17"/>
        <v>0</v>
      </c>
    </row>
    <row r="150" spans="1:20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>
        <f t="shared" si="12"/>
        <v>0</v>
      </c>
      <c r="P150">
        <f t="shared" si="13"/>
        <v>1</v>
      </c>
      <c r="Q150">
        <f t="shared" si="14"/>
        <v>0</v>
      </c>
      <c r="R150">
        <f t="shared" si="15"/>
        <v>1</v>
      </c>
      <c r="S150">
        <f t="shared" si="16"/>
        <v>0</v>
      </c>
      <c r="T150">
        <f t="shared" si="17"/>
        <v>0</v>
      </c>
    </row>
    <row r="151" spans="1:20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>
        <f t="shared" si="12"/>
        <v>0</v>
      </c>
      <c r="P151">
        <f t="shared" si="13"/>
        <v>1</v>
      </c>
      <c r="Q151">
        <f t="shared" si="14"/>
        <v>0</v>
      </c>
      <c r="R151">
        <f t="shared" si="15"/>
        <v>1</v>
      </c>
      <c r="S151">
        <f t="shared" si="16"/>
        <v>0</v>
      </c>
      <c r="T151">
        <f t="shared" si="17"/>
        <v>0</v>
      </c>
    </row>
    <row r="152" spans="1:20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>
        <f t="shared" si="12"/>
        <v>0</v>
      </c>
      <c r="P152">
        <f t="shared" si="13"/>
        <v>1</v>
      </c>
      <c r="Q152">
        <f t="shared" si="14"/>
        <v>0</v>
      </c>
      <c r="R152">
        <f t="shared" si="15"/>
        <v>1</v>
      </c>
      <c r="S152">
        <f t="shared" si="16"/>
        <v>0</v>
      </c>
      <c r="T152">
        <f t="shared" si="17"/>
        <v>0</v>
      </c>
    </row>
    <row r="153" spans="1:20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>
        <f t="shared" si="12"/>
        <v>0</v>
      </c>
      <c r="P153">
        <f t="shared" si="13"/>
        <v>1</v>
      </c>
      <c r="Q153">
        <f t="shared" si="14"/>
        <v>0</v>
      </c>
      <c r="R153">
        <f t="shared" si="15"/>
        <v>1</v>
      </c>
      <c r="S153">
        <f t="shared" si="16"/>
        <v>0</v>
      </c>
      <c r="T153">
        <f t="shared" si="17"/>
        <v>0</v>
      </c>
    </row>
    <row r="154" spans="1:20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>
        <f t="shared" si="12"/>
        <v>0</v>
      </c>
      <c r="P154">
        <f t="shared" si="13"/>
        <v>0</v>
      </c>
      <c r="Q154">
        <f t="shared" si="14"/>
        <v>1</v>
      </c>
      <c r="R154">
        <f t="shared" si="15"/>
        <v>0</v>
      </c>
      <c r="S154">
        <f t="shared" si="16"/>
        <v>1</v>
      </c>
      <c r="T154">
        <f t="shared" si="17"/>
        <v>0</v>
      </c>
    </row>
    <row r="155" spans="1:20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>
        <f t="shared" si="12"/>
        <v>0</v>
      </c>
      <c r="P155">
        <f t="shared" si="13"/>
        <v>0</v>
      </c>
      <c r="Q155">
        <f t="shared" si="14"/>
        <v>1</v>
      </c>
      <c r="R155">
        <f t="shared" si="15"/>
        <v>0</v>
      </c>
      <c r="S155">
        <f t="shared" si="16"/>
        <v>1</v>
      </c>
      <c r="T155">
        <f t="shared" si="17"/>
        <v>0</v>
      </c>
    </row>
    <row r="156" spans="1:20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>
        <f t="shared" si="12"/>
        <v>0</v>
      </c>
      <c r="P156">
        <f t="shared" si="13"/>
        <v>0</v>
      </c>
      <c r="Q156">
        <f t="shared" si="14"/>
        <v>1</v>
      </c>
      <c r="R156">
        <f t="shared" si="15"/>
        <v>0</v>
      </c>
      <c r="S156">
        <f t="shared" si="16"/>
        <v>1</v>
      </c>
      <c r="T156">
        <f t="shared" si="17"/>
        <v>0</v>
      </c>
    </row>
    <row r="157" spans="1:20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>
        <f t="shared" si="12"/>
        <v>0</v>
      </c>
      <c r="P157">
        <f t="shared" si="13"/>
        <v>0</v>
      </c>
      <c r="Q157">
        <f t="shared" si="14"/>
        <v>1</v>
      </c>
      <c r="R157">
        <f t="shared" si="15"/>
        <v>0</v>
      </c>
      <c r="S157">
        <f t="shared" si="16"/>
        <v>1</v>
      </c>
      <c r="T157">
        <f t="shared" si="17"/>
        <v>0</v>
      </c>
    </row>
    <row r="158" spans="1:20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>
        <f t="shared" si="12"/>
        <v>1</v>
      </c>
      <c r="P158">
        <f t="shared" si="13"/>
        <v>0</v>
      </c>
      <c r="Q158">
        <f t="shared" si="14"/>
        <v>0</v>
      </c>
      <c r="R158">
        <f t="shared" si="15"/>
        <v>1</v>
      </c>
      <c r="S158">
        <f t="shared" si="16"/>
        <v>0</v>
      </c>
      <c r="T158">
        <f t="shared" si="17"/>
        <v>0</v>
      </c>
    </row>
    <row r="159" spans="1:20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>
        <f t="shared" si="12"/>
        <v>1</v>
      </c>
      <c r="P159">
        <f t="shared" si="13"/>
        <v>0</v>
      </c>
      <c r="Q159">
        <f t="shared" si="14"/>
        <v>0</v>
      </c>
      <c r="R159">
        <f t="shared" si="15"/>
        <v>1</v>
      </c>
      <c r="S159">
        <f t="shared" si="16"/>
        <v>0</v>
      </c>
      <c r="T159">
        <f t="shared" si="17"/>
        <v>0</v>
      </c>
    </row>
    <row r="160" spans="1:20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>
        <f t="shared" si="12"/>
        <v>1</v>
      </c>
      <c r="P160">
        <f t="shared" si="13"/>
        <v>0</v>
      </c>
      <c r="Q160">
        <f t="shared" si="14"/>
        <v>0</v>
      </c>
      <c r="R160">
        <f t="shared" si="15"/>
        <v>1</v>
      </c>
      <c r="S160">
        <f t="shared" si="16"/>
        <v>0</v>
      </c>
      <c r="T160">
        <f t="shared" si="17"/>
        <v>0</v>
      </c>
    </row>
    <row r="161" spans="1:20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>
        <f t="shared" si="12"/>
        <v>1</v>
      </c>
      <c r="P161">
        <f t="shared" si="13"/>
        <v>0</v>
      </c>
      <c r="Q161">
        <f t="shared" si="14"/>
        <v>0</v>
      </c>
      <c r="R161">
        <f t="shared" si="15"/>
        <v>1</v>
      </c>
      <c r="S161">
        <f t="shared" si="16"/>
        <v>0</v>
      </c>
      <c r="T161">
        <f t="shared" si="17"/>
        <v>0</v>
      </c>
    </row>
    <row r="162" spans="1:20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>
        <f t="shared" si="12"/>
        <v>0</v>
      </c>
      <c r="P162">
        <f t="shared" si="13"/>
        <v>1</v>
      </c>
      <c r="Q162">
        <f t="shared" si="14"/>
        <v>0</v>
      </c>
      <c r="R162">
        <f t="shared" si="15"/>
        <v>0</v>
      </c>
      <c r="S162">
        <f t="shared" si="16"/>
        <v>1</v>
      </c>
      <c r="T162">
        <f t="shared" si="17"/>
        <v>0</v>
      </c>
    </row>
    <row r="163" spans="1:20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>
        <f t="shared" si="12"/>
        <v>0</v>
      </c>
      <c r="P163">
        <f t="shared" si="13"/>
        <v>1</v>
      </c>
      <c r="Q163">
        <f t="shared" si="14"/>
        <v>0</v>
      </c>
      <c r="R163">
        <f t="shared" si="15"/>
        <v>0</v>
      </c>
      <c r="S163">
        <f t="shared" si="16"/>
        <v>1</v>
      </c>
      <c r="T163">
        <f t="shared" si="17"/>
        <v>0</v>
      </c>
    </row>
    <row r="164" spans="1:20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3.3650000000000002</v>
      </c>
      <c r="K164">
        <v>0</v>
      </c>
      <c r="L164">
        <v>4.2</v>
      </c>
      <c r="M164">
        <v>677096.71</v>
      </c>
      <c r="N164">
        <v>97174.11</v>
      </c>
      <c r="O164">
        <f t="shared" si="12"/>
        <v>0</v>
      </c>
      <c r="P164">
        <f t="shared" si="13"/>
        <v>1</v>
      </c>
      <c r="Q164">
        <f t="shared" si="14"/>
        <v>0</v>
      </c>
      <c r="R164">
        <f t="shared" si="15"/>
        <v>0</v>
      </c>
      <c r="S164">
        <f t="shared" si="16"/>
        <v>1</v>
      </c>
      <c r="T164">
        <f t="shared" si="17"/>
        <v>0</v>
      </c>
    </row>
    <row r="165" spans="1:20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>
        <f t="shared" si="12"/>
        <v>0</v>
      </c>
      <c r="P165">
        <f t="shared" si="13"/>
        <v>1</v>
      </c>
      <c r="Q165">
        <f t="shared" si="14"/>
        <v>0</v>
      </c>
      <c r="R165">
        <f t="shared" si="15"/>
        <v>0</v>
      </c>
      <c r="S165">
        <f t="shared" si="16"/>
        <v>1</v>
      </c>
      <c r="T165">
        <f t="shared" si="17"/>
        <v>0</v>
      </c>
    </row>
    <row r="166" spans="1:20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>
        <f t="shared" si="12"/>
        <v>1</v>
      </c>
      <c r="P166">
        <f t="shared" si="13"/>
        <v>0</v>
      </c>
      <c r="Q166">
        <f t="shared" si="14"/>
        <v>0</v>
      </c>
      <c r="R166">
        <f t="shared" si="15"/>
        <v>1</v>
      </c>
      <c r="S166">
        <f t="shared" si="16"/>
        <v>0</v>
      </c>
      <c r="T166">
        <f t="shared" si="17"/>
        <v>0</v>
      </c>
    </row>
    <row r="167" spans="1:20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>
        <f t="shared" si="12"/>
        <v>1</v>
      </c>
      <c r="P167">
        <f t="shared" si="13"/>
        <v>0</v>
      </c>
      <c r="Q167">
        <f t="shared" si="14"/>
        <v>0</v>
      </c>
      <c r="R167">
        <f t="shared" si="15"/>
        <v>1</v>
      </c>
      <c r="S167">
        <f t="shared" si="16"/>
        <v>0</v>
      </c>
      <c r="T167">
        <f t="shared" si="17"/>
        <v>0</v>
      </c>
    </row>
    <row r="168" spans="1:20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>
        <f t="shared" si="12"/>
        <v>1</v>
      </c>
      <c r="P168">
        <f t="shared" si="13"/>
        <v>0</v>
      </c>
      <c r="Q168">
        <f t="shared" si="14"/>
        <v>0</v>
      </c>
      <c r="R168">
        <f t="shared" si="15"/>
        <v>1</v>
      </c>
      <c r="S168">
        <f t="shared" si="16"/>
        <v>0</v>
      </c>
      <c r="T168">
        <f t="shared" si="17"/>
        <v>0</v>
      </c>
    </row>
    <row r="169" spans="1:20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>
        <f t="shared" si="12"/>
        <v>1</v>
      </c>
      <c r="P169">
        <f t="shared" si="13"/>
        <v>0</v>
      </c>
      <c r="Q169">
        <f t="shared" si="14"/>
        <v>0</v>
      </c>
      <c r="R169">
        <f t="shared" si="15"/>
        <v>1</v>
      </c>
      <c r="S169">
        <f t="shared" si="16"/>
        <v>0</v>
      </c>
      <c r="T169">
        <f t="shared" si="17"/>
        <v>0</v>
      </c>
    </row>
    <row r="170" spans="1:20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>
        <f t="shared" si="12"/>
        <v>0</v>
      </c>
      <c r="P170">
        <f t="shared" si="13"/>
        <v>0</v>
      </c>
      <c r="Q170">
        <f t="shared" si="14"/>
        <v>1</v>
      </c>
      <c r="R170">
        <f t="shared" si="15"/>
        <v>0</v>
      </c>
      <c r="S170">
        <f t="shared" si="16"/>
        <v>0</v>
      </c>
      <c r="T170">
        <f t="shared" si="17"/>
        <v>0</v>
      </c>
    </row>
    <row r="171" spans="1:20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>
        <f t="shared" si="12"/>
        <v>0</v>
      </c>
      <c r="P171">
        <f t="shared" si="13"/>
        <v>0</v>
      </c>
      <c r="Q171">
        <f t="shared" si="14"/>
        <v>1</v>
      </c>
      <c r="R171">
        <f t="shared" si="15"/>
        <v>0</v>
      </c>
      <c r="S171">
        <f t="shared" si="16"/>
        <v>0</v>
      </c>
      <c r="T171">
        <f t="shared" si="17"/>
        <v>0</v>
      </c>
    </row>
    <row r="172" spans="1:20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>
        <f t="shared" si="12"/>
        <v>0</v>
      </c>
      <c r="P172">
        <f t="shared" si="13"/>
        <v>0</v>
      </c>
      <c r="Q172">
        <f t="shared" si="14"/>
        <v>1</v>
      </c>
      <c r="R172">
        <f t="shared" si="15"/>
        <v>0</v>
      </c>
      <c r="S172">
        <f t="shared" si="16"/>
        <v>0</v>
      </c>
      <c r="T172">
        <f t="shared" si="17"/>
        <v>0</v>
      </c>
    </row>
    <row r="173" spans="1:20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>
        <f t="shared" si="12"/>
        <v>0</v>
      </c>
      <c r="P173">
        <f t="shared" si="13"/>
        <v>0</v>
      </c>
      <c r="Q173">
        <f t="shared" si="14"/>
        <v>1</v>
      </c>
      <c r="R173">
        <f t="shared" si="15"/>
        <v>0</v>
      </c>
      <c r="S173">
        <f t="shared" si="16"/>
        <v>0</v>
      </c>
      <c r="T173">
        <f t="shared" si="17"/>
        <v>0</v>
      </c>
    </row>
    <row r="174" spans="1:20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>
        <f t="shared" si="12"/>
        <v>0</v>
      </c>
      <c r="P174">
        <f t="shared" si="13"/>
        <v>0</v>
      </c>
      <c r="Q174">
        <f t="shared" si="14"/>
        <v>1</v>
      </c>
      <c r="R174">
        <f t="shared" si="15"/>
        <v>0</v>
      </c>
      <c r="S174">
        <f t="shared" si="16"/>
        <v>0</v>
      </c>
      <c r="T174">
        <f t="shared" si="17"/>
        <v>0</v>
      </c>
    </row>
    <row r="175" spans="1:20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>
        <f t="shared" si="12"/>
        <v>0</v>
      </c>
      <c r="P175">
        <f t="shared" si="13"/>
        <v>0</v>
      </c>
      <c r="Q175">
        <f t="shared" si="14"/>
        <v>1</v>
      </c>
      <c r="R175">
        <f t="shared" si="15"/>
        <v>0</v>
      </c>
      <c r="S175">
        <f t="shared" si="16"/>
        <v>0</v>
      </c>
      <c r="T175">
        <f t="shared" si="17"/>
        <v>0</v>
      </c>
    </row>
    <row r="176" spans="1:20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>
        <f t="shared" si="12"/>
        <v>0</v>
      </c>
      <c r="P176">
        <f t="shared" si="13"/>
        <v>0</v>
      </c>
      <c r="Q176">
        <f t="shared" si="14"/>
        <v>1</v>
      </c>
      <c r="R176">
        <f t="shared" si="15"/>
        <v>0</v>
      </c>
      <c r="S176">
        <f t="shared" si="16"/>
        <v>0</v>
      </c>
      <c r="T176">
        <f t="shared" si="17"/>
        <v>0</v>
      </c>
    </row>
    <row r="177" spans="1:20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>
        <f t="shared" si="12"/>
        <v>0</v>
      </c>
      <c r="P177">
        <f t="shared" si="13"/>
        <v>0</v>
      </c>
      <c r="Q177">
        <f t="shared" si="14"/>
        <v>1</v>
      </c>
      <c r="R177">
        <f t="shared" si="15"/>
        <v>0</v>
      </c>
      <c r="S177">
        <f t="shared" si="16"/>
        <v>0</v>
      </c>
      <c r="T177">
        <f t="shared" si="17"/>
        <v>0</v>
      </c>
    </row>
    <row r="178" spans="1:20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>
        <f t="shared" si="12"/>
        <v>0</v>
      </c>
      <c r="P178">
        <f t="shared" si="13"/>
        <v>0</v>
      </c>
      <c r="Q178">
        <f t="shared" si="14"/>
        <v>0</v>
      </c>
      <c r="R178">
        <f t="shared" si="15"/>
        <v>0</v>
      </c>
      <c r="S178">
        <f t="shared" si="16"/>
        <v>0</v>
      </c>
      <c r="T178">
        <f t="shared" si="17"/>
        <v>1</v>
      </c>
    </row>
    <row r="179" spans="1:20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>
        <f t="shared" si="12"/>
        <v>0</v>
      </c>
      <c r="P179">
        <f t="shared" si="13"/>
        <v>0</v>
      </c>
      <c r="Q179">
        <f t="shared" si="14"/>
        <v>0</v>
      </c>
      <c r="R179">
        <f t="shared" si="15"/>
        <v>0</v>
      </c>
      <c r="S179">
        <f t="shared" si="16"/>
        <v>0</v>
      </c>
      <c r="T179">
        <f t="shared" si="17"/>
        <v>1</v>
      </c>
    </row>
    <row r="180" spans="1:20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>
        <f t="shared" si="12"/>
        <v>0</v>
      </c>
      <c r="P180">
        <f t="shared" si="13"/>
        <v>0</v>
      </c>
      <c r="Q180">
        <f t="shared" si="14"/>
        <v>0</v>
      </c>
      <c r="R180">
        <f t="shared" si="15"/>
        <v>0</v>
      </c>
      <c r="S180">
        <f t="shared" si="16"/>
        <v>0</v>
      </c>
      <c r="T180">
        <f t="shared" si="17"/>
        <v>1</v>
      </c>
    </row>
    <row r="181" spans="1:20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>
        <f t="shared" si="12"/>
        <v>0</v>
      </c>
      <c r="P181">
        <f t="shared" si="13"/>
        <v>0</v>
      </c>
      <c r="Q181">
        <f t="shared" si="14"/>
        <v>0</v>
      </c>
      <c r="R181">
        <f t="shared" si="15"/>
        <v>0</v>
      </c>
      <c r="S181">
        <f t="shared" si="16"/>
        <v>0</v>
      </c>
      <c r="T181">
        <f t="shared" si="17"/>
        <v>1</v>
      </c>
    </row>
    <row r="182" spans="1:20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>
        <f t="shared" si="12"/>
        <v>0</v>
      </c>
      <c r="P182">
        <f t="shared" si="13"/>
        <v>0</v>
      </c>
      <c r="Q182">
        <f t="shared" si="14"/>
        <v>0</v>
      </c>
      <c r="R182">
        <f t="shared" si="15"/>
        <v>0</v>
      </c>
      <c r="S182">
        <f t="shared" si="16"/>
        <v>0</v>
      </c>
      <c r="T182">
        <f t="shared" si="17"/>
        <v>0</v>
      </c>
    </row>
    <row r="183" spans="1:20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>
        <f t="shared" si="12"/>
        <v>0</v>
      </c>
      <c r="P183">
        <f t="shared" si="13"/>
        <v>0</v>
      </c>
      <c r="Q183">
        <f t="shared" si="14"/>
        <v>0</v>
      </c>
      <c r="R183">
        <f t="shared" si="15"/>
        <v>0</v>
      </c>
      <c r="S183">
        <f t="shared" si="16"/>
        <v>0</v>
      </c>
      <c r="T183">
        <f t="shared" si="17"/>
        <v>0</v>
      </c>
    </row>
    <row r="184" spans="1:20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>
        <f t="shared" si="12"/>
        <v>0</v>
      </c>
      <c r="P184">
        <f t="shared" si="13"/>
        <v>0</v>
      </c>
      <c r="Q184">
        <f t="shared" si="14"/>
        <v>0</v>
      </c>
      <c r="R184">
        <f t="shared" si="15"/>
        <v>0</v>
      </c>
      <c r="S184">
        <f t="shared" si="16"/>
        <v>0</v>
      </c>
      <c r="T184">
        <f t="shared" si="17"/>
        <v>0</v>
      </c>
    </row>
    <row r="185" spans="1:20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>
        <f t="shared" si="12"/>
        <v>0</v>
      </c>
      <c r="P185">
        <f t="shared" si="13"/>
        <v>0</v>
      </c>
      <c r="Q185">
        <f t="shared" si="14"/>
        <v>0</v>
      </c>
      <c r="R185">
        <f t="shared" si="15"/>
        <v>0</v>
      </c>
      <c r="S185">
        <f t="shared" si="16"/>
        <v>0</v>
      </c>
      <c r="T185">
        <f t="shared" si="17"/>
        <v>0</v>
      </c>
    </row>
    <row r="186" spans="1:20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>
        <f t="shared" si="12"/>
        <v>1</v>
      </c>
      <c r="P186">
        <f t="shared" si="13"/>
        <v>0</v>
      </c>
      <c r="Q186">
        <f t="shared" si="14"/>
        <v>0</v>
      </c>
      <c r="R186">
        <f t="shared" si="15"/>
        <v>0</v>
      </c>
      <c r="S186">
        <f t="shared" si="16"/>
        <v>1</v>
      </c>
      <c r="T186">
        <f t="shared" si="17"/>
        <v>0</v>
      </c>
    </row>
    <row r="187" spans="1:20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>
        <f t="shared" si="12"/>
        <v>1</v>
      </c>
      <c r="P187">
        <f t="shared" si="13"/>
        <v>0</v>
      </c>
      <c r="Q187">
        <f t="shared" si="14"/>
        <v>0</v>
      </c>
      <c r="R187">
        <f t="shared" si="15"/>
        <v>0</v>
      </c>
      <c r="S187">
        <f t="shared" si="16"/>
        <v>1</v>
      </c>
      <c r="T187">
        <f t="shared" si="17"/>
        <v>0</v>
      </c>
    </row>
    <row r="188" spans="1:20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>
        <f t="shared" si="12"/>
        <v>1</v>
      </c>
      <c r="P188">
        <f t="shared" si="13"/>
        <v>0</v>
      </c>
      <c r="Q188">
        <f t="shared" si="14"/>
        <v>0</v>
      </c>
      <c r="R188">
        <f t="shared" si="15"/>
        <v>0</v>
      </c>
      <c r="S188">
        <f t="shared" si="16"/>
        <v>1</v>
      </c>
      <c r="T188">
        <f t="shared" si="17"/>
        <v>0</v>
      </c>
    </row>
    <row r="189" spans="1:20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>
        <f t="shared" si="12"/>
        <v>1</v>
      </c>
      <c r="P189">
        <f t="shared" si="13"/>
        <v>0</v>
      </c>
      <c r="Q189">
        <f t="shared" si="14"/>
        <v>0</v>
      </c>
      <c r="R189">
        <f t="shared" si="15"/>
        <v>0</v>
      </c>
      <c r="S189">
        <f t="shared" si="16"/>
        <v>1</v>
      </c>
      <c r="T189">
        <f t="shared" si="17"/>
        <v>0</v>
      </c>
    </row>
    <row r="190" spans="1:20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>
        <f t="shared" si="12"/>
        <v>0</v>
      </c>
      <c r="P190">
        <f t="shared" si="13"/>
        <v>0</v>
      </c>
      <c r="Q190">
        <f t="shared" si="14"/>
        <v>1</v>
      </c>
      <c r="R190">
        <f t="shared" si="15"/>
        <v>0</v>
      </c>
      <c r="S190">
        <f t="shared" si="16"/>
        <v>1</v>
      </c>
      <c r="T190">
        <f t="shared" si="17"/>
        <v>0</v>
      </c>
    </row>
    <row r="191" spans="1:20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>
        <f t="shared" si="12"/>
        <v>0</v>
      </c>
      <c r="P191">
        <f t="shared" si="13"/>
        <v>0</v>
      </c>
      <c r="Q191">
        <f t="shared" si="14"/>
        <v>1</v>
      </c>
      <c r="R191">
        <f t="shared" si="15"/>
        <v>0</v>
      </c>
      <c r="S191">
        <f t="shared" si="16"/>
        <v>1</v>
      </c>
      <c r="T191">
        <f t="shared" si="17"/>
        <v>0</v>
      </c>
    </row>
    <row r="192" spans="1:20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>
        <f t="shared" si="12"/>
        <v>0</v>
      </c>
      <c r="P192">
        <f t="shared" si="13"/>
        <v>0</v>
      </c>
      <c r="Q192">
        <f t="shared" si="14"/>
        <v>1</v>
      </c>
      <c r="R192">
        <f t="shared" si="15"/>
        <v>0</v>
      </c>
      <c r="S192">
        <f t="shared" si="16"/>
        <v>1</v>
      </c>
      <c r="T192">
        <f t="shared" si="17"/>
        <v>0</v>
      </c>
    </row>
    <row r="193" spans="1:20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>
        <f t="shared" si="12"/>
        <v>0</v>
      </c>
      <c r="P193">
        <f t="shared" si="13"/>
        <v>0</v>
      </c>
      <c r="Q193">
        <f t="shared" si="14"/>
        <v>1</v>
      </c>
      <c r="R193">
        <f t="shared" si="15"/>
        <v>0</v>
      </c>
      <c r="S193">
        <f t="shared" si="16"/>
        <v>1</v>
      </c>
      <c r="T193">
        <f t="shared" si="17"/>
        <v>0</v>
      </c>
    </row>
    <row r="194" spans="1:20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>
        <f t="shared" si="12"/>
        <v>0</v>
      </c>
      <c r="P194">
        <f t="shared" si="13"/>
        <v>0</v>
      </c>
      <c r="Q194">
        <f t="shared" si="14"/>
        <v>0</v>
      </c>
      <c r="R194">
        <f t="shared" si="15"/>
        <v>0</v>
      </c>
      <c r="S194">
        <f t="shared" si="16"/>
        <v>0</v>
      </c>
      <c r="T194">
        <f t="shared" si="17"/>
        <v>0</v>
      </c>
    </row>
    <row r="195" spans="1:20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>
        <f t="shared" ref="O195:O258" si="18">IF(C195="North",1,0)</f>
        <v>0</v>
      </c>
      <c r="P195">
        <f t="shared" ref="P195:P258" si="19">IF(C195="South",1,0)</f>
        <v>0</v>
      </c>
      <c r="Q195">
        <f t="shared" ref="Q195:Q258" si="20">IF(C195="East",1,0)</f>
        <v>0</v>
      </c>
      <c r="R195">
        <f t="shared" ref="R195:R258" si="21">IF(D195="Mall",1,0)</f>
        <v>0</v>
      </c>
      <c r="S195">
        <f t="shared" ref="S195:S258" si="22">IF(D195="High Street",1,0)</f>
        <v>0</v>
      </c>
      <c r="T195">
        <f t="shared" ref="T195:T258" si="23">IF(D195="Airport",1,0)</f>
        <v>0</v>
      </c>
    </row>
    <row r="196" spans="1:20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>
        <f t="shared" si="18"/>
        <v>0</v>
      </c>
      <c r="P196">
        <f t="shared" si="19"/>
        <v>0</v>
      </c>
      <c r="Q196">
        <f t="shared" si="20"/>
        <v>0</v>
      </c>
      <c r="R196">
        <f t="shared" si="21"/>
        <v>0</v>
      </c>
      <c r="S196">
        <f t="shared" si="22"/>
        <v>0</v>
      </c>
      <c r="T196">
        <f t="shared" si="23"/>
        <v>0</v>
      </c>
    </row>
    <row r="197" spans="1:20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 s="4">
        <v>3.9246794871794881</v>
      </c>
      <c r="M197">
        <v>449465.06</v>
      </c>
      <c r="N197">
        <v>65694.78</v>
      </c>
      <c r="O197">
        <f t="shared" si="18"/>
        <v>0</v>
      </c>
      <c r="P197">
        <f t="shared" si="19"/>
        <v>0</v>
      </c>
      <c r="Q197">
        <f t="shared" si="20"/>
        <v>0</v>
      </c>
      <c r="R197">
        <f t="shared" si="21"/>
        <v>0</v>
      </c>
      <c r="S197">
        <f t="shared" si="22"/>
        <v>0</v>
      </c>
      <c r="T197">
        <f t="shared" si="23"/>
        <v>0</v>
      </c>
    </row>
    <row r="198" spans="1:20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>
        <f t="shared" si="18"/>
        <v>1</v>
      </c>
      <c r="P198">
        <f t="shared" si="19"/>
        <v>0</v>
      </c>
      <c r="Q198">
        <f t="shared" si="20"/>
        <v>0</v>
      </c>
      <c r="R198">
        <f t="shared" si="21"/>
        <v>0</v>
      </c>
      <c r="S198">
        <f t="shared" si="22"/>
        <v>0</v>
      </c>
      <c r="T198">
        <f t="shared" si="23"/>
        <v>0</v>
      </c>
    </row>
    <row r="199" spans="1:20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>
        <f t="shared" si="18"/>
        <v>1</v>
      </c>
      <c r="P199">
        <f t="shared" si="19"/>
        <v>0</v>
      </c>
      <c r="Q199">
        <f t="shared" si="20"/>
        <v>0</v>
      </c>
      <c r="R199">
        <f t="shared" si="21"/>
        <v>0</v>
      </c>
      <c r="S199">
        <f t="shared" si="22"/>
        <v>0</v>
      </c>
      <c r="T199">
        <f t="shared" si="23"/>
        <v>0</v>
      </c>
    </row>
    <row r="200" spans="1:20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>
        <f t="shared" si="18"/>
        <v>1</v>
      </c>
      <c r="P200">
        <f t="shared" si="19"/>
        <v>0</v>
      </c>
      <c r="Q200">
        <f t="shared" si="20"/>
        <v>0</v>
      </c>
      <c r="R200">
        <f t="shared" si="21"/>
        <v>0</v>
      </c>
      <c r="S200">
        <f t="shared" si="22"/>
        <v>0</v>
      </c>
      <c r="T200">
        <f t="shared" si="23"/>
        <v>0</v>
      </c>
    </row>
    <row r="201" spans="1:20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>
        <f t="shared" si="18"/>
        <v>1</v>
      </c>
      <c r="P201">
        <f t="shared" si="19"/>
        <v>0</v>
      </c>
      <c r="Q201">
        <f t="shared" si="20"/>
        <v>0</v>
      </c>
      <c r="R201">
        <f t="shared" si="21"/>
        <v>0</v>
      </c>
      <c r="S201">
        <f t="shared" si="22"/>
        <v>0</v>
      </c>
      <c r="T201">
        <f t="shared" si="23"/>
        <v>0</v>
      </c>
    </row>
    <row r="202" spans="1:20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>
        <f t="shared" si="18"/>
        <v>0</v>
      </c>
      <c r="P202">
        <f t="shared" si="19"/>
        <v>0</v>
      </c>
      <c r="Q202">
        <f t="shared" si="20"/>
        <v>1</v>
      </c>
      <c r="R202">
        <f t="shared" si="21"/>
        <v>0</v>
      </c>
      <c r="S202">
        <f t="shared" si="22"/>
        <v>0</v>
      </c>
      <c r="T202">
        <f t="shared" si="23"/>
        <v>1</v>
      </c>
    </row>
    <row r="203" spans="1:20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>
        <f t="shared" si="18"/>
        <v>0</v>
      </c>
      <c r="P203">
        <f t="shared" si="19"/>
        <v>0</v>
      </c>
      <c r="Q203">
        <f t="shared" si="20"/>
        <v>1</v>
      </c>
      <c r="R203">
        <f t="shared" si="21"/>
        <v>0</v>
      </c>
      <c r="S203">
        <f t="shared" si="22"/>
        <v>0</v>
      </c>
      <c r="T203">
        <f t="shared" si="23"/>
        <v>1</v>
      </c>
    </row>
    <row r="204" spans="1:20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>
        <f t="shared" si="18"/>
        <v>0</v>
      </c>
      <c r="P204">
        <f t="shared" si="19"/>
        <v>0</v>
      </c>
      <c r="Q204">
        <f t="shared" si="20"/>
        <v>1</v>
      </c>
      <c r="R204">
        <f t="shared" si="21"/>
        <v>0</v>
      </c>
      <c r="S204">
        <f t="shared" si="22"/>
        <v>0</v>
      </c>
      <c r="T204">
        <f t="shared" si="23"/>
        <v>1</v>
      </c>
    </row>
    <row r="205" spans="1:20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>
        <f t="shared" si="18"/>
        <v>0</v>
      </c>
      <c r="P205">
        <f t="shared" si="19"/>
        <v>0</v>
      </c>
      <c r="Q205">
        <f t="shared" si="20"/>
        <v>1</v>
      </c>
      <c r="R205">
        <f t="shared" si="21"/>
        <v>0</v>
      </c>
      <c r="S205">
        <f t="shared" si="22"/>
        <v>0</v>
      </c>
      <c r="T205">
        <f t="shared" si="23"/>
        <v>1</v>
      </c>
    </row>
    <row r="206" spans="1:20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>
        <f t="shared" si="18"/>
        <v>0</v>
      </c>
      <c r="P206">
        <f t="shared" si="19"/>
        <v>0</v>
      </c>
      <c r="Q206">
        <f t="shared" si="20"/>
        <v>1</v>
      </c>
      <c r="R206">
        <f t="shared" si="21"/>
        <v>1</v>
      </c>
      <c r="S206">
        <f t="shared" si="22"/>
        <v>0</v>
      </c>
      <c r="T206">
        <f t="shared" si="23"/>
        <v>0</v>
      </c>
    </row>
    <row r="207" spans="1:20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>
        <f t="shared" si="18"/>
        <v>0</v>
      </c>
      <c r="P207">
        <f t="shared" si="19"/>
        <v>0</v>
      </c>
      <c r="Q207">
        <f t="shared" si="20"/>
        <v>1</v>
      </c>
      <c r="R207">
        <f t="shared" si="21"/>
        <v>1</v>
      </c>
      <c r="S207">
        <f t="shared" si="22"/>
        <v>0</v>
      </c>
      <c r="T207">
        <f t="shared" si="23"/>
        <v>0</v>
      </c>
    </row>
    <row r="208" spans="1:20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>
        <f t="shared" si="18"/>
        <v>0</v>
      </c>
      <c r="P208">
        <f t="shared" si="19"/>
        <v>0</v>
      </c>
      <c r="Q208">
        <f t="shared" si="20"/>
        <v>1</v>
      </c>
      <c r="R208">
        <f t="shared" si="21"/>
        <v>1</v>
      </c>
      <c r="S208">
        <f t="shared" si="22"/>
        <v>0</v>
      </c>
      <c r="T208">
        <f t="shared" si="23"/>
        <v>0</v>
      </c>
    </row>
    <row r="209" spans="1:20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>
        <f t="shared" si="18"/>
        <v>0</v>
      </c>
      <c r="P209">
        <f t="shared" si="19"/>
        <v>0</v>
      </c>
      <c r="Q209">
        <f t="shared" si="20"/>
        <v>1</v>
      </c>
      <c r="R209">
        <f t="shared" si="21"/>
        <v>1</v>
      </c>
      <c r="S209">
        <f t="shared" si="22"/>
        <v>0</v>
      </c>
      <c r="T209">
        <f t="shared" si="23"/>
        <v>0</v>
      </c>
    </row>
    <row r="210" spans="1:20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>
        <f t="shared" si="18"/>
        <v>0</v>
      </c>
      <c r="P210">
        <f t="shared" si="19"/>
        <v>0</v>
      </c>
      <c r="Q210">
        <f t="shared" si="20"/>
        <v>1</v>
      </c>
      <c r="R210">
        <f t="shared" si="21"/>
        <v>0</v>
      </c>
      <c r="S210">
        <f t="shared" si="22"/>
        <v>1</v>
      </c>
      <c r="T210">
        <f t="shared" si="23"/>
        <v>0</v>
      </c>
    </row>
    <row r="211" spans="1:20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>
        <f t="shared" si="18"/>
        <v>0</v>
      </c>
      <c r="P211">
        <f t="shared" si="19"/>
        <v>0</v>
      </c>
      <c r="Q211">
        <f t="shared" si="20"/>
        <v>1</v>
      </c>
      <c r="R211">
        <f t="shared" si="21"/>
        <v>0</v>
      </c>
      <c r="S211">
        <f t="shared" si="22"/>
        <v>1</v>
      </c>
      <c r="T211">
        <f t="shared" si="23"/>
        <v>0</v>
      </c>
    </row>
    <row r="212" spans="1:20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>
        <f t="shared" si="18"/>
        <v>0</v>
      </c>
      <c r="P212">
        <f t="shared" si="19"/>
        <v>0</v>
      </c>
      <c r="Q212">
        <f t="shared" si="20"/>
        <v>1</v>
      </c>
      <c r="R212">
        <f t="shared" si="21"/>
        <v>0</v>
      </c>
      <c r="S212">
        <f t="shared" si="22"/>
        <v>1</v>
      </c>
      <c r="T212">
        <f t="shared" si="23"/>
        <v>0</v>
      </c>
    </row>
    <row r="213" spans="1:20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>
        <f t="shared" si="18"/>
        <v>0</v>
      </c>
      <c r="P213">
        <f t="shared" si="19"/>
        <v>0</v>
      </c>
      <c r="Q213">
        <f t="shared" si="20"/>
        <v>1</v>
      </c>
      <c r="R213">
        <f t="shared" si="21"/>
        <v>0</v>
      </c>
      <c r="S213">
        <f t="shared" si="22"/>
        <v>1</v>
      </c>
      <c r="T213">
        <f t="shared" si="23"/>
        <v>0</v>
      </c>
    </row>
    <row r="214" spans="1:20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 t="shared" si="18"/>
        <v>0</v>
      </c>
      <c r="P214">
        <f t="shared" si="19"/>
        <v>0</v>
      </c>
      <c r="Q214">
        <f t="shared" si="20"/>
        <v>0</v>
      </c>
      <c r="R214">
        <f t="shared" si="21"/>
        <v>0</v>
      </c>
      <c r="S214">
        <f t="shared" si="22"/>
        <v>0</v>
      </c>
      <c r="T214">
        <f t="shared" si="23"/>
        <v>0</v>
      </c>
    </row>
    <row r="215" spans="1:20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>
        <f t="shared" si="18"/>
        <v>0</v>
      </c>
      <c r="P215">
        <f t="shared" si="19"/>
        <v>0</v>
      </c>
      <c r="Q215">
        <f t="shared" si="20"/>
        <v>0</v>
      </c>
      <c r="R215">
        <f t="shared" si="21"/>
        <v>0</v>
      </c>
      <c r="S215">
        <f t="shared" si="22"/>
        <v>0</v>
      </c>
      <c r="T215">
        <f t="shared" si="23"/>
        <v>0</v>
      </c>
    </row>
    <row r="216" spans="1:20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>
        <f t="shared" si="18"/>
        <v>0</v>
      </c>
      <c r="P216">
        <f t="shared" si="19"/>
        <v>0</v>
      </c>
      <c r="Q216">
        <f t="shared" si="20"/>
        <v>0</v>
      </c>
      <c r="R216">
        <f t="shared" si="21"/>
        <v>0</v>
      </c>
      <c r="S216">
        <f t="shared" si="22"/>
        <v>0</v>
      </c>
      <c r="T216">
        <f t="shared" si="23"/>
        <v>0</v>
      </c>
    </row>
    <row r="217" spans="1:20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>
        <f t="shared" si="18"/>
        <v>0</v>
      </c>
      <c r="P217">
        <f t="shared" si="19"/>
        <v>0</v>
      </c>
      <c r="Q217">
        <f t="shared" si="20"/>
        <v>0</v>
      </c>
      <c r="R217">
        <f t="shared" si="21"/>
        <v>0</v>
      </c>
      <c r="S217">
        <f t="shared" si="22"/>
        <v>0</v>
      </c>
      <c r="T217">
        <f t="shared" si="23"/>
        <v>0</v>
      </c>
    </row>
    <row r="218" spans="1:20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>
        <f t="shared" si="18"/>
        <v>1</v>
      </c>
      <c r="P218">
        <f t="shared" si="19"/>
        <v>0</v>
      </c>
      <c r="Q218">
        <f t="shared" si="20"/>
        <v>0</v>
      </c>
      <c r="R218">
        <f t="shared" si="21"/>
        <v>0</v>
      </c>
      <c r="S218">
        <f t="shared" si="22"/>
        <v>0</v>
      </c>
      <c r="T218">
        <f t="shared" si="23"/>
        <v>1</v>
      </c>
    </row>
    <row r="219" spans="1:20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>
        <f t="shared" si="18"/>
        <v>1</v>
      </c>
      <c r="P219">
        <f t="shared" si="19"/>
        <v>0</v>
      </c>
      <c r="Q219">
        <f t="shared" si="20"/>
        <v>0</v>
      </c>
      <c r="R219">
        <f t="shared" si="21"/>
        <v>0</v>
      </c>
      <c r="S219">
        <f t="shared" si="22"/>
        <v>0</v>
      </c>
      <c r="T219">
        <f t="shared" si="23"/>
        <v>1</v>
      </c>
    </row>
    <row r="220" spans="1:20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>
        <f t="shared" si="18"/>
        <v>1</v>
      </c>
      <c r="P220">
        <f t="shared" si="19"/>
        <v>0</v>
      </c>
      <c r="Q220">
        <f t="shared" si="20"/>
        <v>0</v>
      </c>
      <c r="R220">
        <f t="shared" si="21"/>
        <v>0</v>
      </c>
      <c r="S220">
        <f t="shared" si="22"/>
        <v>0</v>
      </c>
      <c r="T220">
        <f t="shared" si="23"/>
        <v>1</v>
      </c>
    </row>
    <row r="221" spans="1:20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>
        <f t="shared" si="18"/>
        <v>1</v>
      </c>
      <c r="P221">
        <f t="shared" si="19"/>
        <v>0</v>
      </c>
      <c r="Q221">
        <f t="shared" si="20"/>
        <v>0</v>
      </c>
      <c r="R221">
        <f t="shared" si="21"/>
        <v>0</v>
      </c>
      <c r="S221">
        <f t="shared" si="22"/>
        <v>0</v>
      </c>
      <c r="T221">
        <f t="shared" si="23"/>
        <v>1</v>
      </c>
    </row>
    <row r="222" spans="1:20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>
        <f t="shared" si="18"/>
        <v>0</v>
      </c>
      <c r="P222">
        <f t="shared" si="19"/>
        <v>0</v>
      </c>
      <c r="Q222">
        <f t="shared" si="20"/>
        <v>1</v>
      </c>
      <c r="R222">
        <f t="shared" si="21"/>
        <v>0</v>
      </c>
      <c r="S222">
        <f t="shared" si="22"/>
        <v>1</v>
      </c>
      <c r="T222">
        <f t="shared" si="23"/>
        <v>0</v>
      </c>
    </row>
    <row r="223" spans="1:20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>
        <f t="shared" si="18"/>
        <v>0</v>
      </c>
      <c r="P223">
        <f t="shared" si="19"/>
        <v>0</v>
      </c>
      <c r="Q223">
        <f t="shared" si="20"/>
        <v>1</v>
      </c>
      <c r="R223">
        <f t="shared" si="21"/>
        <v>0</v>
      </c>
      <c r="S223">
        <f t="shared" si="22"/>
        <v>1</v>
      </c>
      <c r="T223">
        <f t="shared" si="23"/>
        <v>0</v>
      </c>
    </row>
    <row r="224" spans="1:20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>
        <f t="shared" si="18"/>
        <v>0</v>
      </c>
      <c r="P224">
        <f t="shared" si="19"/>
        <v>0</v>
      </c>
      <c r="Q224">
        <f t="shared" si="20"/>
        <v>1</v>
      </c>
      <c r="R224">
        <f t="shared" si="21"/>
        <v>0</v>
      </c>
      <c r="S224">
        <f t="shared" si="22"/>
        <v>1</v>
      </c>
      <c r="T224">
        <f t="shared" si="23"/>
        <v>0</v>
      </c>
    </row>
    <row r="225" spans="1:20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>
        <f t="shared" si="18"/>
        <v>0</v>
      </c>
      <c r="P225">
        <f t="shared" si="19"/>
        <v>0</v>
      </c>
      <c r="Q225">
        <f t="shared" si="20"/>
        <v>1</v>
      </c>
      <c r="R225">
        <f t="shared" si="21"/>
        <v>0</v>
      </c>
      <c r="S225">
        <f t="shared" si="22"/>
        <v>1</v>
      </c>
      <c r="T225">
        <f t="shared" si="23"/>
        <v>0</v>
      </c>
    </row>
    <row r="226" spans="1:20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>
        <f t="shared" si="18"/>
        <v>0</v>
      </c>
      <c r="P226">
        <f t="shared" si="19"/>
        <v>0</v>
      </c>
      <c r="Q226">
        <f t="shared" si="20"/>
        <v>1</v>
      </c>
      <c r="R226">
        <f t="shared" si="21"/>
        <v>1</v>
      </c>
      <c r="S226">
        <f t="shared" si="22"/>
        <v>0</v>
      </c>
      <c r="T226">
        <f t="shared" si="23"/>
        <v>0</v>
      </c>
    </row>
    <row r="227" spans="1:20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>
        <f t="shared" si="18"/>
        <v>0</v>
      </c>
      <c r="P227">
        <f t="shared" si="19"/>
        <v>0</v>
      </c>
      <c r="Q227">
        <f t="shared" si="20"/>
        <v>1</v>
      </c>
      <c r="R227">
        <f t="shared" si="21"/>
        <v>1</v>
      </c>
      <c r="S227">
        <f t="shared" si="22"/>
        <v>0</v>
      </c>
      <c r="T227">
        <f t="shared" si="23"/>
        <v>0</v>
      </c>
    </row>
    <row r="228" spans="1:20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>
        <f t="shared" si="18"/>
        <v>0</v>
      </c>
      <c r="P228">
        <f t="shared" si="19"/>
        <v>0</v>
      </c>
      <c r="Q228">
        <f t="shared" si="20"/>
        <v>1</v>
      </c>
      <c r="R228">
        <f t="shared" si="21"/>
        <v>1</v>
      </c>
      <c r="S228">
        <f t="shared" si="22"/>
        <v>0</v>
      </c>
      <c r="T228">
        <f t="shared" si="23"/>
        <v>0</v>
      </c>
    </row>
    <row r="229" spans="1:20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 s="4">
        <v>3.9246794871794881</v>
      </c>
      <c r="M229">
        <v>529598.93999999994</v>
      </c>
      <c r="N229">
        <v>84334.33</v>
      </c>
      <c r="O229">
        <f t="shared" si="18"/>
        <v>0</v>
      </c>
      <c r="P229">
        <f t="shared" si="19"/>
        <v>0</v>
      </c>
      <c r="Q229">
        <f t="shared" si="20"/>
        <v>1</v>
      </c>
      <c r="R229">
        <f t="shared" si="21"/>
        <v>1</v>
      </c>
      <c r="S229">
        <f t="shared" si="22"/>
        <v>0</v>
      </c>
      <c r="T229">
        <f t="shared" si="23"/>
        <v>0</v>
      </c>
    </row>
    <row r="230" spans="1:20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>
        <f t="shared" si="18"/>
        <v>0</v>
      </c>
      <c r="P230">
        <f t="shared" si="19"/>
        <v>0</v>
      </c>
      <c r="Q230">
        <f t="shared" si="20"/>
        <v>1</v>
      </c>
      <c r="R230">
        <f t="shared" si="21"/>
        <v>0</v>
      </c>
      <c r="S230">
        <f t="shared" si="22"/>
        <v>1</v>
      </c>
      <c r="T230">
        <f t="shared" si="23"/>
        <v>0</v>
      </c>
    </row>
    <row r="231" spans="1:20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>
        <f t="shared" si="18"/>
        <v>0</v>
      </c>
      <c r="P231">
        <f t="shared" si="19"/>
        <v>0</v>
      </c>
      <c r="Q231">
        <f t="shared" si="20"/>
        <v>1</v>
      </c>
      <c r="R231">
        <f t="shared" si="21"/>
        <v>0</v>
      </c>
      <c r="S231">
        <f t="shared" si="22"/>
        <v>1</v>
      </c>
      <c r="T231">
        <f t="shared" si="23"/>
        <v>0</v>
      </c>
    </row>
    <row r="232" spans="1:20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>
        <f t="shared" si="18"/>
        <v>0</v>
      </c>
      <c r="P232">
        <f t="shared" si="19"/>
        <v>0</v>
      </c>
      <c r="Q232">
        <f t="shared" si="20"/>
        <v>1</v>
      </c>
      <c r="R232">
        <f t="shared" si="21"/>
        <v>0</v>
      </c>
      <c r="S232">
        <f t="shared" si="22"/>
        <v>1</v>
      </c>
      <c r="T232">
        <f t="shared" si="23"/>
        <v>0</v>
      </c>
    </row>
    <row r="233" spans="1:20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3.3650000000000002</v>
      </c>
      <c r="K233">
        <v>0</v>
      </c>
      <c r="L233">
        <v>3.7</v>
      </c>
      <c r="M233">
        <v>647512.85</v>
      </c>
      <c r="N233">
        <v>153835.57</v>
      </c>
      <c r="O233">
        <f t="shared" si="18"/>
        <v>0</v>
      </c>
      <c r="P233">
        <f t="shared" si="19"/>
        <v>0</v>
      </c>
      <c r="Q233">
        <f t="shared" si="20"/>
        <v>1</v>
      </c>
      <c r="R233">
        <f t="shared" si="21"/>
        <v>0</v>
      </c>
      <c r="S233">
        <f t="shared" si="22"/>
        <v>1</v>
      </c>
      <c r="T233">
        <f t="shared" si="23"/>
        <v>0</v>
      </c>
    </row>
    <row r="234" spans="1:20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>
        <f t="shared" si="18"/>
        <v>0</v>
      </c>
      <c r="P234">
        <f t="shared" si="19"/>
        <v>0</v>
      </c>
      <c r="Q234">
        <f t="shared" si="20"/>
        <v>0</v>
      </c>
      <c r="R234">
        <f t="shared" si="21"/>
        <v>0</v>
      </c>
      <c r="S234">
        <f t="shared" si="22"/>
        <v>0</v>
      </c>
      <c r="T234">
        <f t="shared" si="23"/>
        <v>0</v>
      </c>
    </row>
    <row r="235" spans="1:20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>
        <f t="shared" si="18"/>
        <v>0</v>
      </c>
      <c r="P235">
        <f t="shared" si="19"/>
        <v>0</v>
      </c>
      <c r="Q235">
        <f t="shared" si="20"/>
        <v>0</v>
      </c>
      <c r="R235">
        <f t="shared" si="21"/>
        <v>0</v>
      </c>
      <c r="S235">
        <f t="shared" si="22"/>
        <v>0</v>
      </c>
      <c r="T235">
        <f t="shared" si="23"/>
        <v>0</v>
      </c>
    </row>
    <row r="236" spans="1:20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>
        <f t="shared" si="18"/>
        <v>0</v>
      </c>
      <c r="P236">
        <f t="shared" si="19"/>
        <v>0</v>
      </c>
      <c r="Q236">
        <f t="shared" si="20"/>
        <v>0</v>
      </c>
      <c r="R236">
        <f t="shared" si="21"/>
        <v>0</v>
      </c>
      <c r="S236">
        <f t="shared" si="22"/>
        <v>0</v>
      </c>
      <c r="T236">
        <f t="shared" si="23"/>
        <v>0</v>
      </c>
    </row>
    <row r="237" spans="1:20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>
        <f t="shared" si="18"/>
        <v>0</v>
      </c>
      <c r="P237">
        <f t="shared" si="19"/>
        <v>0</v>
      </c>
      <c r="Q237">
        <f t="shared" si="20"/>
        <v>0</v>
      </c>
      <c r="R237">
        <f t="shared" si="21"/>
        <v>0</v>
      </c>
      <c r="S237">
        <f t="shared" si="22"/>
        <v>0</v>
      </c>
      <c r="T237">
        <f t="shared" si="23"/>
        <v>0</v>
      </c>
    </row>
    <row r="238" spans="1:20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>
        <f t="shared" si="18"/>
        <v>0</v>
      </c>
      <c r="P238">
        <f t="shared" si="19"/>
        <v>0</v>
      </c>
      <c r="Q238">
        <f t="shared" si="20"/>
        <v>0</v>
      </c>
      <c r="R238">
        <f t="shared" si="21"/>
        <v>1</v>
      </c>
      <c r="S238">
        <f t="shared" si="22"/>
        <v>0</v>
      </c>
      <c r="T238">
        <f t="shared" si="23"/>
        <v>0</v>
      </c>
    </row>
    <row r="239" spans="1:20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>
        <f t="shared" si="18"/>
        <v>0</v>
      </c>
      <c r="P239">
        <f t="shared" si="19"/>
        <v>0</v>
      </c>
      <c r="Q239">
        <f t="shared" si="20"/>
        <v>0</v>
      </c>
      <c r="R239">
        <f t="shared" si="21"/>
        <v>1</v>
      </c>
      <c r="S239">
        <f t="shared" si="22"/>
        <v>0</v>
      </c>
      <c r="T239">
        <f t="shared" si="23"/>
        <v>0</v>
      </c>
    </row>
    <row r="240" spans="1:20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>
        <f t="shared" si="18"/>
        <v>0</v>
      </c>
      <c r="P240">
        <f t="shared" si="19"/>
        <v>0</v>
      </c>
      <c r="Q240">
        <f t="shared" si="20"/>
        <v>0</v>
      </c>
      <c r="R240">
        <f t="shared" si="21"/>
        <v>1</v>
      </c>
      <c r="S240">
        <f t="shared" si="22"/>
        <v>0</v>
      </c>
      <c r="T240">
        <f t="shared" si="23"/>
        <v>0</v>
      </c>
    </row>
    <row r="241" spans="1:20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>
        <f t="shared" si="18"/>
        <v>0</v>
      </c>
      <c r="P241">
        <f t="shared" si="19"/>
        <v>0</v>
      </c>
      <c r="Q241">
        <f t="shared" si="20"/>
        <v>0</v>
      </c>
      <c r="R241">
        <f t="shared" si="21"/>
        <v>1</v>
      </c>
      <c r="S241">
        <f t="shared" si="22"/>
        <v>0</v>
      </c>
      <c r="T241">
        <f t="shared" si="23"/>
        <v>0</v>
      </c>
    </row>
    <row r="242" spans="1:20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>
        <f t="shared" si="18"/>
        <v>0</v>
      </c>
      <c r="P242">
        <f t="shared" si="19"/>
        <v>1</v>
      </c>
      <c r="Q242">
        <f t="shared" si="20"/>
        <v>0</v>
      </c>
      <c r="R242">
        <f t="shared" si="21"/>
        <v>0</v>
      </c>
      <c r="S242">
        <f t="shared" si="22"/>
        <v>0</v>
      </c>
      <c r="T242">
        <f t="shared" si="23"/>
        <v>1</v>
      </c>
    </row>
    <row r="243" spans="1:20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>
        <f t="shared" si="18"/>
        <v>0</v>
      </c>
      <c r="P243">
        <f t="shared" si="19"/>
        <v>1</v>
      </c>
      <c r="Q243">
        <f t="shared" si="20"/>
        <v>0</v>
      </c>
      <c r="R243">
        <f t="shared" si="21"/>
        <v>0</v>
      </c>
      <c r="S243">
        <f t="shared" si="22"/>
        <v>0</v>
      </c>
      <c r="T243">
        <f t="shared" si="23"/>
        <v>1</v>
      </c>
    </row>
    <row r="244" spans="1:20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>
        <f t="shared" si="18"/>
        <v>0</v>
      </c>
      <c r="P244">
        <f t="shared" si="19"/>
        <v>1</v>
      </c>
      <c r="Q244">
        <f t="shared" si="20"/>
        <v>0</v>
      </c>
      <c r="R244">
        <f t="shared" si="21"/>
        <v>0</v>
      </c>
      <c r="S244">
        <f t="shared" si="22"/>
        <v>0</v>
      </c>
      <c r="T244">
        <f t="shared" si="23"/>
        <v>1</v>
      </c>
    </row>
    <row r="245" spans="1:20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>
        <f t="shared" si="18"/>
        <v>0</v>
      </c>
      <c r="P245">
        <f t="shared" si="19"/>
        <v>1</v>
      </c>
      <c r="Q245">
        <f t="shared" si="20"/>
        <v>0</v>
      </c>
      <c r="R245">
        <f t="shared" si="21"/>
        <v>0</v>
      </c>
      <c r="S245">
        <f t="shared" si="22"/>
        <v>0</v>
      </c>
      <c r="T245">
        <f t="shared" si="23"/>
        <v>1</v>
      </c>
    </row>
    <row r="246" spans="1:20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>
        <f t="shared" si="18"/>
        <v>0</v>
      </c>
      <c r="P246">
        <f t="shared" si="19"/>
        <v>0</v>
      </c>
      <c r="Q246">
        <f t="shared" si="20"/>
        <v>1</v>
      </c>
      <c r="R246">
        <f t="shared" si="21"/>
        <v>0</v>
      </c>
      <c r="S246">
        <f t="shared" si="22"/>
        <v>1</v>
      </c>
      <c r="T246">
        <f t="shared" si="23"/>
        <v>0</v>
      </c>
    </row>
    <row r="247" spans="1:20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>
        <f t="shared" si="18"/>
        <v>0</v>
      </c>
      <c r="P247">
        <f t="shared" si="19"/>
        <v>0</v>
      </c>
      <c r="Q247">
        <f t="shared" si="20"/>
        <v>1</v>
      </c>
      <c r="R247">
        <f t="shared" si="21"/>
        <v>0</v>
      </c>
      <c r="S247">
        <f t="shared" si="22"/>
        <v>1</v>
      </c>
      <c r="T247">
        <f t="shared" si="23"/>
        <v>0</v>
      </c>
    </row>
    <row r="248" spans="1:20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>
        <f t="shared" si="18"/>
        <v>0</v>
      </c>
      <c r="P248">
        <f t="shared" si="19"/>
        <v>0</v>
      </c>
      <c r="Q248">
        <f t="shared" si="20"/>
        <v>1</v>
      </c>
      <c r="R248">
        <f t="shared" si="21"/>
        <v>0</v>
      </c>
      <c r="S248">
        <f t="shared" si="22"/>
        <v>1</v>
      </c>
      <c r="T248">
        <f t="shared" si="23"/>
        <v>0</v>
      </c>
    </row>
    <row r="249" spans="1:20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>
        <f t="shared" si="18"/>
        <v>0</v>
      </c>
      <c r="P249">
        <f t="shared" si="19"/>
        <v>0</v>
      </c>
      <c r="Q249">
        <f t="shared" si="20"/>
        <v>1</v>
      </c>
      <c r="R249">
        <f t="shared" si="21"/>
        <v>0</v>
      </c>
      <c r="S249">
        <f t="shared" si="22"/>
        <v>1</v>
      </c>
      <c r="T249">
        <f t="shared" si="23"/>
        <v>0</v>
      </c>
    </row>
    <row r="250" spans="1:20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3.3650000000000002</v>
      </c>
      <c r="K250">
        <v>0</v>
      </c>
      <c r="L250">
        <v>3.8</v>
      </c>
      <c r="M250">
        <v>606783.67000000004</v>
      </c>
      <c r="N250">
        <v>74515.87</v>
      </c>
      <c r="O250">
        <f t="shared" si="18"/>
        <v>1</v>
      </c>
      <c r="P250">
        <f t="shared" si="19"/>
        <v>0</v>
      </c>
      <c r="Q250">
        <f t="shared" si="20"/>
        <v>0</v>
      </c>
      <c r="R250">
        <f t="shared" si="21"/>
        <v>0</v>
      </c>
      <c r="S250">
        <f t="shared" si="22"/>
        <v>1</v>
      </c>
      <c r="T250">
        <f t="shared" si="23"/>
        <v>0</v>
      </c>
    </row>
    <row r="251" spans="1:20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>
        <f t="shared" si="18"/>
        <v>1</v>
      </c>
      <c r="P251">
        <f t="shared" si="19"/>
        <v>0</v>
      </c>
      <c r="Q251">
        <f t="shared" si="20"/>
        <v>0</v>
      </c>
      <c r="R251">
        <f t="shared" si="21"/>
        <v>0</v>
      </c>
      <c r="S251">
        <f t="shared" si="22"/>
        <v>1</v>
      </c>
      <c r="T251">
        <f t="shared" si="23"/>
        <v>0</v>
      </c>
    </row>
    <row r="252" spans="1:20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>
        <f t="shared" si="18"/>
        <v>1</v>
      </c>
      <c r="P252">
        <f t="shared" si="19"/>
        <v>0</v>
      </c>
      <c r="Q252">
        <f t="shared" si="20"/>
        <v>0</v>
      </c>
      <c r="R252">
        <f t="shared" si="21"/>
        <v>0</v>
      </c>
      <c r="S252">
        <f t="shared" si="22"/>
        <v>1</v>
      </c>
      <c r="T252">
        <f t="shared" si="23"/>
        <v>0</v>
      </c>
    </row>
    <row r="253" spans="1:20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>
        <f t="shared" si="18"/>
        <v>1</v>
      </c>
      <c r="P253">
        <f t="shared" si="19"/>
        <v>0</v>
      </c>
      <c r="Q253">
        <f t="shared" si="20"/>
        <v>0</v>
      </c>
      <c r="R253">
        <f t="shared" si="21"/>
        <v>0</v>
      </c>
      <c r="S253">
        <f t="shared" si="22"/>
        <v>1</v>
      </c>
      <c r="T253">
        <f t="shared" si="23"/>
        <v>0</v>
      </c>
    </row>
    <row r="254" spans="1:20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>
        <f t="shared" si="18"/>
        <v>0</v>
      </c>
      <c r="P254">
        <f t="shared" si="19"/>
        <v>1</v>
      </c>
      <c r="Q254">
        <f t="shared" si="20"/>
        <v>0</v>
      </c>
      <c r="R254">
        <f t="shared" si="21"/>
        <v>0</v>
      </c>
      <c r="S254">
        <f t="shared" si="22"/>
        <v>0</v>
      </c>
      <c r="T254">
        <f t="shared" si="23"/>
        <v>1</v>
      </c>
    </row>
    <row r="255" spans="1:20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>
        <f t="shared" si="18"/>
        <v>0</v>
      </c>
      <c r="P255">
        <f t="shared" si="19"/>
        <v>1</v>
      </c>
      <c r="Q255">
        <f t="shared" si="20"/>
        <v>0</v>
      </c>
      <c r="R255">
        <f t="shared" si="21"/>
        <v>0</v>
      </c>
      <c r="S255">
        <f t="shared" si="22"/>
        <v>0</v>
      </c>
      <c r="T255">
        <f t="shared" si="23"/>
        <v>1</v>
      </c>
    </row>
    <row r="256" spans="1:20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>
        <f t="shared" si="18"/>
        <v>0</v>
      </c>
      <c r="P256">
        <f t="shared" si="19"/>
        <v>1</v>
      </c>
      <c r="Q256">
        <f t="shared" si="20"/>
        <v>0</v>
      </c>
      <c r="R256">
        <f t="shared" si="21"/>
        <v>0</v>
      </c>
      <c r="S256">
        <f t="shared" si="22"/>
        <v>0</v>
      </c>
      <c r="T256">
        <f t="shared" si="23"/>
        <v>1</v>
      </c>
    </row>
    <row r="257" spans="1:20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>
        <f t="shared" si="18"/>
        <v>0</v>
      </c>
      <c r="P257">
        <f t="shared" si="19"/>
        <v>1</v>
      </c>
      <c r="Q257">
        <f t="shared" si="20"/>
        <v>0</v>
      </c>
      <c r="R257">
        <f t="shared" si="21"/>
        <v>0</v>
      </c>
      <c r="S257">
        <f t="shared" si="22"/>
        <v>0</v>
      </c>
      <c r="T257">
        <f t="shared" si="23"/>
        <v>1</v>
      </c>
    </row>
    <row r="258" spans="1:20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>
        <f t="shared" si="18"/>
        <v>0</v>
      </c>
      <c r="P258">
        <f t="shared" si="19"/>
        <v>1</v>
      </c>
      <c r="Q258">
        <f t="shared" si="20"/>
        <v>0</v>
      </c>
      <c r="R258">
        <f t="shared" si="21"/>
        <v>1</v>
      </c>
      <c r="S258">
        <f t="shared" si="22"/>
        <v>0</v>
      </c>
      <c r="T258">
        <f t="shared" si="23"/>
        <v>0</v>
      </c>
    </row>
    <row r="259" spans="1:20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>
        <f t="shared" ref="O259:O321" si="24">IF(C259="North",1,0)</f>
        <v>0</v>
      </c>
      <c r="P259">
        <f t="shared" ref="P259:P321" si="25">IF(C259="South",1,0)</f>
        <v>1</v>
      </c>
      <c r="Q259">
        <f t="shared" ref="Q259:Q321" si="26">IF(C259="East",1,0)</f>
        <v>0</v>
      </c>
      <c r="R259">
        <f t="shared" ref="R259:R321" si="27">IF(D259="Mall",1,0)</f>
        <v>1</v>
      </c>
      <c r="S259">
        <f t="shared" ref="S259:S321" si="28">IF(D259="High Street",1,0)</f>
        <v>0</v>
      </c>
      <c r="T259">
        <f t="shared" ref="T259:T321" si="29">IF(D259="Airport",1,0)</f>
        <v>0</v>
      </c>
    </row>
    <row r="260" spans="1:20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>
        <f t="shared" si="24"/>
        <v>0</v>
      </c>
      <c r="P260">
        <f t="shared" si="25"/>
        <v>1</v>
      </c>
      <c r="Q260">
        <f t="shared" si="26"/>
        <v>0</v>
      </c>
      <c r="R260">
        <f t="shared" si="27"/>
        <v>1</v>
      </c>
      <c r="S260">
        <f t="shared" si="28"/>
        <v>0</v>
      </c>
      <c r="T260">
        <f t="shared" si="29"/>
        <v>0</v>
      </c>
    </row>
    <row r="261" spans="1:20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>
        <f t="shared" si="24"/>
        <v>0</v>
      </c>
      <c r="P261">
        <f t="shared" si="25"/>
        <v>1</v>
      </c>
      <c r="Q261">
        <f t="shared" si="26"/>
        <v>0</v>
      </c>
      <c r="R261">
        <f t="shared" si="27"/>
        <v>1</v>
      </c>
      <c r="S261">
        <f t="shared" si="28"/>
        <v>0</v>
      </c>
      <c r="T261">
        <f t="shared" si="29"/>
        <v>0</v>
      </c>
    </row>
    <row r="262" spans="1:20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>
        <f t="shared" si="24"/>
        <v>0</v>
      </c>
      <c r="P262">
        <f t="shared" si="25"/>
        <v>0</v>
      </c>
      <c r="Q262">
        <f t="shared" si="26"/>
        <v>0</v>
      </c>
      <c r="R262">
        <f t="shared" si="27"/>
        <v>0</v>
      </c>
      <c r="S262">
        <f t="shared" si="28"/>
        <v>1</v>
      </c>
      <c r="T262">
        <f t="shared" si="29"/>
        <v>0</v>
      </c>
    </row>
    <row r="263" spans="1:20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3.3650000000000002</v>
      </c>
      <c r="K263">
        <v>0</v>
      </c>
      <c r="L263">
        <v>4.2</v>
      </c>
      <c r="M263">
        <v>605751.32999999996</v>
      </c>
      <c r="N263">
        <v>60685.53</v>
      </c>
      <c r="O263">
        <f t="shared" si="24"/>
        <v>0</v>
      </c>
      <c r="P263">
        <f t="shared" si="25"/>
        <v>0</v>
      </c>
      <c r="Q263">
        <f t="shared" si="26"/>
        <v>0</v>
      </c>
      <c r="R263">
        <f t="shared" si="27"/>
        <v>0</v>
      </c>
      <c r="S263">
        <f t="shared" si="28"/>
        <v>1</v>
      </c>
      <c r="T263">
        <f t="shared" si="29"/>
        <v>0</v>
      </c>
    </row>
    <row r="264" spans="1:20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>
        <f t="shared" si="24"/>
        <v>0</v>
      </c>
      <c r="P264">
        <f t="shared" si="25"/>
        <v>0</v>
      </c>
      <c r="Q264">
        <f t="shared" si="26"/>
        <v>0</v>
      </c>
      <c r="R264">
        <f t="shared" si="27"/>
        <v>0</v>
      </c>
      <c r="S264">
        <f t="shared" si="28"/>
        <v>1</v>
      </c>
      <c r="T264">
        <f t="shared" si="29"/>
        <v>0</v>
      </c>
    </row>
    <row r="265" spans="1:20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>
        <f t="shared" si="24"/>
        <v>0</v>
      </c>
      <c r="P265">
        <f t="shared" si="25"/>
        <v>0</v>
      </c>
      <c r="Q265">
        <f t="shared" si="26"/>
        <v>0</v>
      </c>
      <c r="R265">
        <f t="shared" si="27"/>
        <v>0</v>
      </c>
      <c r="S265">
        <f t="shared" si="28"/>
        <v>1</v>
      </c>
      <c r="T265">
        <f t="shared" si="29"/>
        <v>0</v>
      </c>
    </row>
    <row r="266" spans="1:20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>
        <f t="shared" si="24"/>
        <v>0</v>
      </c>
      <c r="P266">
        <f t="shared" si="25"/>
        <v>0</v>
      </c>
      <c r="Q266">
        <f t="shared" si="26"/>
        <v>1</v>
      </c>
      <c r="R266">
        <f t="shared" si="27"/>
        <v>0</v>
      </c>
      <c r="S266">
        <f t="shared" si="28"/>
        <v>1</v>
      </c>
      <c r="T266">
        <f t="shared" si="29"/>
        <v>0</v>
      </c>
    </row>
    <row r="267" spans="1:20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>
        <f t="shared" si="24"/>
        <v>0</v>
      </c>
      <c r="P267">
        <f t="shared" si="25"/>
        <v>0</v>
      </c>
      <c r="Q267">
        <f t="shared" si="26"/>
        <v>1</v>
      </c>
      <c r="R267">
        <f t="shared" si="27"/>
        <v>0</v>
      </c>
      <c r="S267">
        <f t="shared" si="28"/>
        <v>1</v>
      </c>
      <c r="T267">
        <f t="shared" si="29"/>
        <v>0</v>
      </c>
    </row>
    <row r="268" spans="1:20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>
        <f t="shared" si="24"/>
        <v>0</v>
      </c>
      <c r="P268">
        <f t="shared" si="25"/>
        <v>0</v>
      </c>
      <c r="Q268">
        <f t="shared" si="26"/>
        <v>1</v>
      </c>
      <c r="R268">
        <f t="shared" si="27"/>
        <v>0</v>
      </c>
      <c r="S268">
        <f t="shared" si="28"/>
        <v>1</v>
      </c>
      <c r="T268">
        <f t="shared" si="29"/>
        <v>0</v>
      </c>
    </row>
    <row r="269" spans="1:20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>
        <f t="shared" si="24"/>
        <v>0</v>
      </c>
      <c r="P269">
        <f t="shared" si="25"/>
        <v>0</v>
      </c>
      <c r="Q269">
        <f t="shared" si="26"/>
        <v>1</v>
      </c>
      <c r="R269">
        <f t="shared" si="27"/>
        <v>0</v>
      </c>
      <c r="S269">
        <f t="shared" si="28"/>
        <v>1</v>
      </c>
      <c r="T269">
        <f t="shared" si="29"/>
        <v>0</v>
      </c>
    </row>
    <row r="270" spans="1:20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>
        <f t="shared" si="24"/>
        <v>0</v>
      </c>
      <c r="P270">
        <f t="shared" si="25"/>
        <v>0</v>
      </c>
      <c r="Q270">
        <f t="shared" si="26"/>
        <v>1</v>
      </c>
      <c r="R270">
        <f t="shared" si="27"/>
        <v>1</v>
      </c>
      <c r="S270">
        <f t="shared" si="28"/>
        <v>0</v>
      </c>
      <c r="T270">
        <f t="shared" si="29"/>
        <v>0</v>
      </c>
    </row>
    <row r="271" spans="1:20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>
        <f t="shared" si="24"/>
        <v>0</v>
      </c>
      <c r="P271">
        <f t="shared" si="25"/>
        <v>0</v>
      </c>
      <c r="Q271">
        <f t="shared" si="26"/>
        <v>1</v>
      </c>
      <c r="R271">
        <f t="shared" si="27"/>
        <v>1</v>
      </c>
      <c r="S271">
        <f t="shared" si="28"/>
        <v>0</v>
      </c>
      <c r="T271">
        <f t="shared" si="29"/>
        <v>0</v>
      </c>
    </row>
    <row r="272" spans="1:20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>
        <f t="shared" si="24"/>
        <v>0</v>
      </c>
      <c r="P272">
        <f t="shared" si="25"/>
        <v>0</v>
      </c>
      <c r="Q272">
        <f t="shared" si="26"/>
        <v>1</v>
      </c>
      <c r="R272">
        <f t="shared" si="27"/>
        <v>1</v>
      </c>
      <c r="S272">
        <f t="shared" si="28"/>
        <v>0</v>
      </c>
      <c r="T272">
        <f t="shared" si="29"/>
        <v>0</v>
      </c>
    </row>
    <row r="273" spans="1:20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>
        <f t="shared" si="24"/>
        <v>0</v>
      </c>
      <c r="P273">
        <f t="shared" si="25"/>
        <v>0</v>
      </c>
      <c r="Q273">
        <f t="shared" si="26"/>
        <v>1</v>
      </c>
      <c r="R273">
        <f t="shared" si="27"/>
        <v>1</v>
      </c>
      <c r="S273">
        <f t="shared" si="28"/>
        <v>0</v>
      </c>
      <c r="T273">
        <f t="shared" si="29"/>
        <v>0</v>
      </c>
    </row>
    <row r="274" spans="1:20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>
        <f t="shared" si="24"/>
        <v>0</v>
      </c>
      <c r="P274">
        <f t="shared" si="25"/>
        <v>0</v>
      </c>
      <c r="Q274">
        <f t="shared" si="26"/>
        <v>0</v>
      </c>
      <c r="R274">
        <f t="shared" si="27"/>
        <v>0</v>
      </c>
      <c r="S274">
        <f t="shared" si="28"/>
        <v>1</v>
      </c>
      <c r="T274">
        <f t="shared" si="29"/>
        <v>0</v>
      </c>
    </row>
    <row r="275" spans="1:20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>
        <f t="shared" si="24"/>
        <v>0</v>
      </c>
      <c r="P275">
        <f t="shared" si="25"/>
        <v>0</v>
      </c>
      <c r="Q275">
        <f t="shared" si="26"/>
        <v>0</v>
      </c>
      <c r="R275">
        <f t="shared" si="27"/>
        <v>0</v>
      </c>
      <c r="S275">
        <f t="shared" si="28"/>
        <v>1</v>
      </c>
      <c r="T275">
        <f t="shared" si="29"/>
        <v>0</v>
      </c>
    </row>
    <row r="276" spans="1:20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>
        <f t="shared" si="24"/>
        <v>0</v>
      </c>
      <c r="P276">
        <f t="shared" si="25"/>
        <v>0</v>
      </c>
      <c r="Q276">
        <f t="shared" si="26"/>
        <v>0</v>
      </c>
      <c r="R276">
        <f t="shared" si="27"/>
        <v>0</v>
      </c>
      <c r="S276">
        <f t="shared" si="28"/>
        <v>1</v>
      </c>
      <c r="T276">
        <f t="shared" si="29"/>
        <v>0</v>
      </c>
    </row>
    <row r="277" spans="1:20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>
        <f t="shared" si="24"/>
        <v>0</v>
      </c>
      <c r="P277">
        <f t="shared" si="25"/>
        <v>0</v>
      </c>
      <c r="Q277">
        <f t="shared" si="26"/>
        <v>0</v>
      </c>
      <c r="R277">
        <f t="shared" si="27"/>
        <v>0</v>
      </c>
      <c r="S277">
        <f t="shared" si="28"/>
        <v>1</v>
      </c>
      <c r="T277">
        <f t="shared" si="29"/>
        <v>0</v>
      </c>
    </row>
    <row r="278" spans="1:20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>
        <f t="shared" si="24"/>
        <v>0</v>
      </c>
      <c r="P278">
        <f t="shared" si="25"/>
        <v>1</v>
      </c>
      <c r="Q278">
        <f t="shared" si="26"/>
        <v>0</v>
      </c>
      <c r="R278">
        <f t="shared" si="27"/>
        <v>0</v>
      </c>
      <c r="S278">
        <f t="shared" si="28"/>
        <v>0</v>
      </c>
      <c r="T278">
        <f t="shared" si="29"/>
        <v>0</v>
      </c>
    </row>
    <row r="279" spans="1:20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>
        <f t="shared" si="24"/>
        <v>0</v>
      </c>
      <c r="P279">
        <f t="shared" si="25"/>
        <v>1</v>
      </c>
      <c r="Q279">
        <f t="shared" si="26"/>
        <v>0</v>
      </c>
      <c r="R279">
        <f t="shared" si="27"/>
        <v>0</v>
      </c>
      <c r="S279">
        <f t="shared" si="28"/>
        <v>0</v>
      </c>
      <c r="T279">
        <f t="shared" si="29"/>
        <v>0</v>
      </c>
    </row>
    <row r="280" spans="1:20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>
        <f t="shared" si="24"/>
        <v>0</v>
      </c>
      <c r="P280">
        <f t="shared" si="25"/>
        <v>1</v>
      </c>
      <c r="Q280">
        <f t="shared" si="26"/>
        <v>0</v>
      </c>
      <c r="R280">
        <f t="shared" si="27"/>
        <v>0</v>
      </c>
      <c r="S280">
        <f t="shared" si="28"/>
        <v>0</v>
      </c>
      <c r="T280">
        <f t="shared" si="29"/>
        <v>0</v>
      </c>
    </row>
    <row r="281" spans="1:20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>
        <f t="shared" si="24"/>
        <v>0</v>
      </c>
      <c r="P281">
        <f t="shared" si="25"/>
        <v>1</v>
      </c>
      <c r="Q281">
        <f t="shared" si="26"/>
        <v>0</v>
      </c>
      <c r="R281">
        <f t="shared" si="27"/>
        <v>0</v>
      </c>
      <c r="S281">
        <f t="shared" si="28"/>
        <v>0</v>
      </c>
      <c r="T281">
        <f t="shared" si="29"/>
        <v>0</v>
      </c>
    </row>
    <row r="282" spans="1:20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>
        <f t="shared" si="24"/>
        <v>0</v>
      </c>
      <c r="P282">
        <f t="shared" si="25"/>
        <v>1</v>
      </c>
      <c r="Q282">
        <f t="shared" si="26"/>
        <v>0</v>
      </c>
      <c r="R282">
        <f t="shared" si="27"/>
        <v>0</v>
      </c>
      <c r="S282">
        <f t="shared" si="28"/>
        <v>1</v>
      </c>
      <c r="T282">
        <f t="shared" si="29"/>
        <v>0</v>
      </c>
    </row>
    <row r="283" spans="1:20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>
        <f t="shared" si="24"/>
        <v>0</v>
      </c>
      <c r="P283">
        <f t="shared" si="25"/>
        <v>1</v>
      </c>
      <c r="Q283">
        <f t="shared" si="26"/>
        <v>0</v>
      </c>
      <c r="R283">
        <f t="shared" si="27"/>
        <v>0</v>
      </c>
      <c r="S283">
        <f t="shared" si="28"/>
        <v>1</v>
      </c>
      <c r="T283">
        <f t="shared" si="29"/>
        <v>0</v>
      </c>
    </row>
    <row r="284" spans="1:20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>
        <f t="shared" si="24"/>
        <v>0</v>
      </c>
      <c r="P284">
        <f t="shared" si="25"/>
        <v>1</v>
      </c>
      <c r="Q284">
        <f t="shared" si="26"/>
        <v>0</v>
      </c>
      <c r="R284">
        <f t="shared" si="27"/>
        <v>0</v>
      </c>
      <c r="S284">
        <f t="shared" si="28"/>
        <v>1</v>
      </c>
      <c r="T284">
        <f t="shared" si="29"/>
        <v>0</v>
      </c>
    </row>
    <row r="285" spans="1:20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>
        <f t="shared" si="24"/>
        <v>0</v>
      </c>
      <c r="P285">
        <f t="shared" si="25"/>
        <v>1</v>
      </c>
      <c r="Q285">
        <f t="shared" si="26"/>
        <v>0</v>
      </c>
      <c r="R285">
        <f t="shared" si="27"/>
        <v>0</v>
      </c>
      <c r="S285">
        <f t="shared" si="28"/>
        <v>1</v>
      </c>
      <c r="T285">
        <f t="shared" si="29"/>
        <v>0</v>
      </c>
    </row>
    <row r="286" spans="1:20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>
        <f t="shared" si="24"/>
        <v>0</v>
      </c>
      <c r="P286">
        <f t="shared" si="25"/>
        <v>0</v>
      </c>
      <c r="Q286">
        <f t="shared" si="26"/>
        <v>0</v>
      </c>
      <c r="R286">
        <f t="shared" si="27"/>
        <v>0</v>
      </c>
      <c r="S286">
        <f t="shared" si="28"/>
        <v>0</v>
      </c>
      <c r="T286">
        <f t="shared" si="29"/>
        <v>0</v>
      </c>
    </row>
    <row r="287" spans="1:20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>
        <f t="shared" si="24"/>
        <v>0</v>
      </c>
      <c r="P287">
        <f t="shared" si="25"/>
        <v>0</v>
      </c>
      <c r="Q287">
        <f t="shared" si="26"/>
        <v>0</v>
      </c>
      <c r="R287">
        <f t="shared" si="27"/>
        <v>0</v>
      </c>
      <c r="S287">
        <f t="shared" si="28"/>
        <v>0</v>
      </c>
      <c r="T287">
        <f t="shared" si="29"/>
        <v>0</v>
      </c>
    </row>
    <row r="288" spans="1:20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>
        <f t="shared" si="24"/>
        <v>0</v>
      </c>
      <c r="P288">
        <f t="shared" si="25"/>
        <v>0</v>
      </c>
      <c r="Q288">
        <f t="shared" si="26"/>
        <v>0</v>
      </c>
      <c r="R288">
        <f t="shared" si="27"/>
        <v>0</v>
      </c>
      <c r="S288">
        <f t="shared" si="28"/>
        <v>0</v>
      </c>
      <c r="T288">
        <f t="shared" si="29"/>
        <v>0</v>
      </c>
    </row>
    <row r="289" spans="1:20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>
        <f t="shared" si="24"/>
        <v>0</v>
      </c>
      <c r="P289">
        <f t="shared" si="25"/>
        <v>0</v>
      </c>
      <c r="Q289">
        <f t="shared" si="26"/>
        <v>0</v>
      </c>
      <c r="R289">
        <f t="shared" si="27"/>
        <v>0</v>
      </c>
      <c r="S289">
        <f t="shared" si="28"/>
        <v>0</v>
      </c>
      <c r="T289">
        <f t="shared" si="29"/>
        <v>0</v>
      </c>
    </row>
    <row r="290" spans="1:20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>
        <f t="shared" si="24"/>
        <v>0</v>
      </c>
      <c r="P290">
        <f t="shared" si="25"/>
        <v>0</v>
      </c>
      <c r="Q290">
        <f t="shared" si="26"/>
        <v>1</v>
      </c>
      <c r="R290">
        <f t="shared" si="27"/>
        <v>0</v>
      </c>
      <c r="S290">
        <f t="shared" si="28"/>
        <v>0</v>
      </c>
      <c r="T290">
        <f t="shared" si="29"/>
        <v>0</v>
      </c>
    </row>
    <row r="291" spans="1:20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>
        <f t="shared" si="24"/>
        <v>0</v>
      </c>
      <c r="P291">
        <f t="shared" si="25"/>
        <v>0</v>
      </c>
      <c r="Q291">
        <f t="shared" si="26"/>
        <v>1</v>
      </c>
      <c r="R291">
        <f t="shared" si="27"/>
        <v>0</v>
      </c>
      <c r="S291">
        <f t="shared" si="28"/>
        <v>0</v>
      </c>
      <c r="T291">
        <f t="shared" si="29"/>
        <v>0</v>
      </c>
    </row>
    <row r="292" spans="1:20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>
        <f t="shared" si="24"/>
        <v>0</v>
      </c>
      <c r="P292">
        <f t="shared" si="25"/>
        <v>0</v>
      </c>
      <c r="Q292">
        <f t="shared" si="26"/>
        <v>1</v>
      </c>
      <c r="R292">
        <f t="shared" si="27"/>
        <v>0</v>
      </c>
      <c r="S292">
        <f t="shared" si="28"/>
        <v>0</v>
      </c>
      <c r="T292">
        <f t="shared" si="29"/>
        <v>0</v>
      </c>
    </row>
    <row r="293" spans="1:20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>
        <f t="shared" si="24"/>
        <v>0</v>
      </c>
      <c r="P293">
        <f t="shared" si="25"/>
        <v>0</v>
      </c>
      <c r="Q293">
        <f t="shared" si="26"/>
        <v>1</v>
      </c>
      <c r="R293">
        <f t="shared" si="27"/>
        <v>0</v>
      </c>
      <c r="S293">
        <f t="shared" si="28"/>
        <v>0</v>
      </c>
      <c r="T293">
        <f t="shared" si="29"/>
        <v>0</v>
      </c>
    </row>
    <row r="294" spans="1:20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>
        <f t="shared" si="24"/>
        <v>0</v>
      </c>
      <c r="P294">
        <f t="shared" si="25"/>
        <v>0</v>
      </c>
      <c r="Q294">
        <f t="shared" si="26"/>
        <v>0</v>
      </c>
      <c r="R294">
        <f t="shared" si="27"/>
        <v>0</v>
      </c>
      <c r="S294">
        <f t="shared" si="28"/>
        <v>1</v>
      </c>
      <c r="T294">
        <f t="shared" si="29"/>
        <v>0</v>
      </c>
    </row>
    <row r="295" spans="1:20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>
        <f t="shared" si="24"/>
        <v>0</v>
      </c>
      <c r="P295">
        <f t="shared" si="25"/>
        <v>0</v>
      </c>
      <c r="Q295">
        <f t="shared" si="26"/>
        <v>0</v>
      </c>
      <c r="R295">
        <f t="shared" si="27"/>
        <v>0</v>
      </c>
      <c r="S295">
        <f t="shared" si="28"/>
        <v>1</v>
      </c>
      <c r="T295">
        <f t="shared" si="29"/>
        <v>0</v>
      </c>
    </row>
    <row r="296" spans="1:20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>
        <f t="shared" si="24"/>
        <v>0</v>
      </c>
      <c r="P296">
        <f t="shared" si="25"/>
        <v>0</v>
      </c>
      <c r="Q296">
        <f t="shared" si="26"/>
        <v>0</v>
      </c>
      <c r="R296">
        <f t="shared" si="27"/>
        <v>0</v>
      </c>
      <c r="S296">
        <f t="shared" si="28"/>
        <v>1</v>
      </c>
      <c r="T296">
        <f t="shared" si="29"/>
        <v>0</v>
      </c>
    </row>
    <row r="297" spans="1:20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>
        <f t="shared" si="24"/>
        <v>0</v>
      </c>
      <c r="P297">
        <f t="shared" si="25"/>
        <v>0</v>
      </c>
      <c r="Q297">
        <f t="shared" si="26"/>
        <v>0</v>
      </c>
      <c r="R297">
        <f t="shared" si="27"/>
        <v>0</v>
      </c>
      <c r="S297">
        <f t="shared" si="28"/>
        <v>1</v>
      </c>
      <c r="T297">
        <f t="shared" si="29"/>
        <v>0</v>
      </c>
    </row>
    <row r="298" spans="1:20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>
        <f t="shared" si="24"/>
        <v>0</v>
      </c>
      <c r="P298">
        <f t="shared" si="25"/>
        <v>0</v>
      </c>
      <c r="Q298">
        <f t="shared" si="26"/>
        <v>0</v>
      </c>
      <c r="R298">
        <f t="shared" si="27"/>
        <v>0</v>
      </c>
      <c r="S298">
        <f t="shared" si="28"/>
        <v>1</v>
      </c>
      <c r="T298">
        <f t="shared" si="29"/>
        <v>0</v>
      </c>
    </row>
    <row r="299" spans="1:20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>
        <f t="shared" si="24"/>
        <v>0</v>
      </c>
      <c r="P299">
        <f t="shared" si="25"/>
        <v>0</v>
      </c>
      <c r="Q299">
        <f t="shared" si="26"/>
        <v>0</v>
      </c>
      <c r="R299">
        <f t="shared" si="27"/>
        <v>0</v>
      </c>
      <c r="S299">
        <f t="shared" si="28"/>
        <v>1</v>
      </c>
      <c r="T299">
        <f t="shared" si="29"/>
        <v>0</v>
      </c>
    </row>
    <row r="300" spans="1:20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>
        <f t="shared" si="24"/>
        <v>0</v>
      </c>
      <c r="P300">
        <f t="shared" si="25"/>
        <v>0</v>
      </c>
      <c r="Q300">
        <f t="shared" si="26"/>
        <v>0</v>
      </c>
      <c r="R300">
        <f t="shared" si="27"/>
        <v>0</v>
      </c>
      <c r="S300">
        <f t="shared" si="28"/>
        <v>1</v>
      </c>
      <c r="T300">
        <f t="shared" si="29"/>
        <v>0</v>
      </c>
    </row>
    <row r="301" spans="1:20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>
        <f t="shared" si="24"/>
        <v>0</v>
      </c>
      <c r="P301">
        <f t="shared" si="25"/>
        <v>0</v>
      </c>
      <c r="Q301">
        <f t="shared" si="26"/>
        <v>0</v>
      </c>
      <c r="R301">
        <f t="shared" si="27"/>
        <v>0</v>
      </c>
      <c r="S301">
        <f t="shared" si="28"/>
        <v>1</v>
      </c>
      <c r="T301">
        <f t="shared" si="29"/>
        <v>0</v>
      </c>
    </row>
    <row r="302" spans="1:20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>
        <f t="shared" si="24"/>
        <v>1</v>
      </c>
      <c r="P302">
        <f t="shared" si="25"/>
        <v>0</v>
      </c>
      <c r="Q302">
        <f t="shared" si="26"/>
        <v>0</v>
      </c>
      <c r="R302">
        <f t="shared" si="27"/>
        <v>1</v>
      </c>
      <c r="S302">
        <f t="shared" si="28"/>
        <v>0</v>
      </c>
      <c r="T302">
        <f t="shared" si="29"/>
        <v>0</v>
      </c>
    </row>
    <row r="303" spans="1:20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>
        <f t="shared" si="24"/>
        <v>1</v>
      </c>
      <c r="P303">
        <f t="shared" si="25"/>
        <v>0</v>
      </c>
      <c r="Q303">
        <f t="shared" si="26"/>
        <v>0</v>
      </c>
      <c r="R303">
        <f t="shared" si="27"/>
        <v>1</v>
      </c>
      <c r="S303">
        <f t="shared" si="28"/>
        <v>0</v>
      </c>
      <c r="T303">
        <f t="shared" si="29"/>
        <v>0</v>
      </c>
    </row>
    <row r="304" spans="1:20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>
        <f t="shared" si="24"/>
        <v>1</v>
      </c>
      <c r="P304">
        <f t="shared" si="25"/>
        <v>0</v>
      </c>
      <c r="Q304">
        <f t="shared" si="26"/>
        <v>0</v>
      </c>
      <c r="R304">
        <f t="shared" si="27"/>
        <v>1</v>
      </c>
      <c r="S304">
        <f t="shared" si="28"/>
        <v>0</v>
      </c>
      <c r="T304">
        <f t="shared" si="29"/>
        <v>0</v>
      </c>
    </row>
    <row r="305" spans="1:20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>
        <f t="shared" si="24"/>
        <v>1</v>
      </c>
      <c r="P305">
        <f t="shared" si="25"/>
        <v>0</v>
      </c>
      <c r="Q305">
        <f t="shared" si="26"/>
        <v>0</v>
      </c>
      <c r="R305">
        <f t="shared" si="27"/>
        <v>1</v>
      </c>
      <c r="S305">
        <f t="shared" si="28"/>
        <v>0</v>
      </c>
      <c r="T305">
        <f t="shared" si="29"/>
        <v>0</v>
      </c>
    </row>
    <row r="306" spans="1:20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>
        <f t="shared" si="24"/>
        <v>0</v>
      </c>
      <c r="P306">
        <f t="shared" si="25"/>
        <v>1</v>
      </c>
      <c r="Q306">
        <f t="shared" si="26"/>
        <v>0</v>
      </c>
      <c r="R306">
        <f t="shared" si="27"/>
        <v>0</v>
      </c>
      <c r="S306">
        <f t="shared" si="28"/>
        <v>0</v>
      </c>
      <c r="T306">
        <f t="shared" si="29"/>
        <v>0</v>
      </c>
    </row>
    <row r="307" spans="1:20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>
        <f t="shared" si="24"/>
        <v>0</v>
      </c>
      <c r="P307">
        <f t="shared" si="25"/>
        <v>1</v>
      </c>
      <c r="Q307">
        <f t="shared" si="26"/>
        <v>0</v>
      </c>
      <c r="R307">
        <f t="shared" si="27"/>
        <v>0</v>
      </c>
      <c r="S307">
        <f t="shared" si="28"/>
        <v>0</v>
      </c>
      <c r="T307">
        <f t="shared" si="29"/>
        <v>0</v>
      </c>
    </row>
    <row r="308" spans="1:20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>
        <f t="shared" si="24"/>
        <v>0</v>
      </c>
      <c r="P308">
        <f t="shared" si="25"/>
        <v>1</v>
      </c>
      <c r="Q308">
        <f t="shared" si="26"/>
        <v>0</v>
      </c>
      <c r="R308">
        <f t="shared" si="27"/>
        <v>0</v>
      </c>
      <c r="S308">
        <f t="shared" si="28"/>
        <v>0</v>
      </c>
      <c r="T308">
        <f t="shared" si="29"/>
        <v>0</v>
      </c>
    </row>
    <row r="309" spans="1:20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>
        <f t="shared" si="24"/>
        <v>0</v>
      </c>
      <c r="P309">
        <f t="shared" si="25"/>
        <v>1</v>
      </c>
      <c r="Q309">
        <f t="shared" si="26"/>
        <v>0</v>
      </c>
      <c r="R309">
        <f t="shared" si="27"/>
        <v>0</v>
      </c>
      <c r="S309">
        <f t="shared" si="28"/>
        <v>0</v>
      </c>
      <c r="T309">
        <f t="shared" si="29"/>
        <v>0</v>
      </c>
    </row>
    <row r="310" spans="1:20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>
        <f t="shared" si="24"/>
        <v>0</v>
      </c>
      <c r="P310">
        <f t="shared" si="25"/>
        <v>1</v>
      </c>
      <c r="Q310">
        <f t="shared" si="26"/>
        <v>0</v>
      </c>
      <c r="R310">
        <f t="shared" si="27"/>
        <v>0</v>
      </c>
      <c r="S310">
        <f t="shared" si="28"/>
        <v>1</v>
      </c>
      <c r="T310">
        <f t="shared" si="29"/>
        <v>0</v>
      </c>
    </row>
    <row r="311" spans="1:20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>
        <f t="shared" si="24"/>
        <v>0</v>
      </c>
      <c r="P311">
        <f t="shared" si="25"/>
        <v>1</v>
      </c>
      <c r="Q311">
        <f t="shared" si="26"/>
        <v>0</v>
      </c>
      <c r="R311">
        <f t="shared" si="27"/>
        <v>0</v>
      </c>
      <c r="S311">
        <f t="shared" si="28"/>
        <v>1</v>
      </c>
      <c r="T311">
        <f t="shared" si="29"/>
        <v>0</v>
      </c>
    </row>
    <row r="312" spans="1:20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>
        <f t="shared" si="24"/>
        <v>0</v>
      </c>
      <c r="P312">
        <f t="shared" si="25"/>
        <v>1</v>
      </c>
      <c r="Q312">
        <f t="shared" si="26"/>
        <v>0</v>
      </c>
      <c r="R312">
        <f t="shared" si="27"/>
        <v>0</v>
      </c>
      <c r="S312">
        <f t="shared" si="28"/>
        <v>1</v>
      </c>
      <c r="T312">
        <f t="shared" si="29"/>
        <v>0</v>
      </c>
    </row>
    <row r="313" spans="1:20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 s="4">
        <v>3.9246794871794881</v>
      </c>
      <c r="M313">
        <v>771129.07</v>
      </c>
      <c r="N313">
        <v>116851.13</v>
      </c>
      <c r="O313">
        <f t="shared" si="24"/>
        <v>0</v>
      </c>
      <c r="P313">
        <f t="shared" si="25"/>
        <v>1</v>
      </c>
      <c r="Q313">
        <f t="shared" si="26"/>
        <v>0</v>
      </c>
      <c r="R313">
        <f t="shared" si="27"/>
        <v>0</v>
      </c>
      <c r="S313">
        <f t="shared" si="28"/>
        <v>1</v>
      </c>
      <c r="T313">
        <f t="shared" si="29"/>
        <v>0</v>
      </c>
    </row>
    <row r="314" spans="1:20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>
        <f t="shared" si="24"/>
        <v>1</v>
      </c>
      <c r="P314">
        <f t="shared" si="25"/>
        <v>0</v>
      </c>
      <c r="Q314">
        <f t="shared" si="26"/>
        <v>0</v>
      </c>
      <c r="R314">
        <f t="shared" si="27"/>
        <v>0</v>
      </c>
      <c r="S314">
        <f t="shared" si="28"/>
        <v>0</v>
      </c>
      <c r="T314">
        <f t="shared" si="29"/>
        <v>0</v>
      </c>
    </row>
    <row r="315" spans="1:20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 s="4">
        <v>3.9246794871794881</v>
      </c>
      <c r="M315">
        <v>688368.46</v>
      </c>
      <c r="N315">
        <v>93588.42</v>
      </c>
      <c r="O315">
        <f t="shared" si="24"/>
        <v>1</v>
      </c>
      <c r="P315">
        <f t="shared" si="25"/>
        <v>0</v>
      </c>
      <c r="Q315">
        <f t="shared" si="26"/>
        <v>0</v>
      </c>
      <c r="R315">
        <f t="shared" si="27"/>
        <v>0</v>
      </c>
      <c r="S315">
        <f t="shared" si="28"/>
        <v>0</v>
      </c>
      <c r="T315">
        <f t="shared" si="29"/>
        <v>0</v>
      </c>
    </row>
    <row r="316" spans="1:20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>
        <f t="shared" si="24"/>
        <v>1</v>
      </c>
      <c r="P316">
        <f t="shared" si="25"/>
        <v>0</v>
      </c>
      <c r="Q316">
        <f t="shared" si="26"/>
        <v>0</v>
      </c>
      <c r="R316">
        <f t="shared" si="27"/>
        <v>0</v>
      </c>
      <c r="S316">
        <f t="shared" si="28"/>
        <v>0</v>
      </c>
      <c r="T316">
        <f t="shared" si="29"/>
        <v>0</v>
      </c>
    </row>
    <row r="317" spans="1:20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>
        <f t="shared" si="24"/>
        <v>1</v>
      </c>
      <c r="P317">
        <f t="shared" si="25"/>
        <v>0</v>
      </c>
      <c r="Q317">
        <f t="shared" si="26"/>
        <v>0</v>
      </c>
      <c r="R317">
        <f t="shared" si="27"/>
        <v>0</v>
      </c>
      <c r="S317">
        <f t="shared" si="28"/>
        <v>0</v>
      </c>
      <c r="T317">
        <f t="shared" si="29"/>
        <v>0</v>
      </c>
    </row>
    <row r="318" spans="1:20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>
        <f t="shared" si="24"/>
        <v>0</v>
      </c>
      <c r="P318">
        <f t="shared" si="25"/>
        <v>0</v>
      </c>
      <c r="Q318">
        <f t="shared" si="26"/>
        <v>1</v>
      </c>
      <c r="R318">
        <f t="shared" si="27"/>
        <v>0</v>
      </c>
      <c r="S318">
        <f t="shared" si="28"/>
        <v>0</v>
      </c>
      <c r="T318">
        <f t="shared" si="29"/>
        <v>0</v>
      </c>
    </row>
    <row r="319" spans="1:20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>
        <f t="shared" si="24"/>
        <v>0</v>
      </c>
      <c r="P319">
        <f t="shared" si="25"/>
        <v>0</v>
      </c>
      <c r="Q319">
        <f t="shared" si="26"/>
        <v>1</v>
      </c>
      <c r="R319">
        <f t="shared" si="27"/>
        <v>0</v>
      </c>
      <c r="S319">
        <f t="shared" si="28"/>
        <v>0</v>
      </c>
      <c r="T319">
        <f t="shared" si="29"/>
        <v>0</v>
      </c>
    </row>
    <row r="320" spans="1:20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>
        <f t="shared" si="24"/>
        <v>0</v>
      </c>
      <c r="P320">
        <f t="shared" si="25"/>
        <v>0</v>
      </c>
      <c r="Q320">
        <f t="shared" si="26"/>
        <v>1</v>
      </c>
      <c r="R320">
        <f t="shared" si="27"/>
        <v>0</v>
      </c>
      <c r="S320">
        <f t="shared" si="28"/>
        <v>0</v>
      </c>
      <c r="T320">
        <f t="shared" si="29"/>
        <v>0</v>
      </c>
    </row>
    <row r="321" spans="1:20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>
        <f t="shared" si="24"/>
        <v>0</v>
      </c>
      <c r="P321">
        <f t="shared" si="25"/>
        <v>0</v>
      </c>
      <c r="Q321">
        <f t="shared" si="26"/>
        <v>1</v>
      </c>
      <c r="R321">
        <f t="shared" si="27"/>
        <v>0</v>
      </c>
      <c r="S321">
        <f t="shared" si="28"/>
        <v>0</v>
      </c>
      <c r="T321">
        <f t="shared" si="29"/>
        <v>0</v>
      </c>
    </row>
  </sheetData>
  <autoFilter ref="D1:D321" xr:uid="{1AEF9FC6-63AC-463D-B0B5-1A774710B09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CDDB-B96A-4878-B4C5-14D0B92F84C5}">
  <dimension ref="A1:I24"/>
  <sheetViews>
    <sheetView topLeftCell="A6" workbookViewId="0">
      <selection activeCell="A21" sqref="A21:B24"/>
    </sheetView>
  </sheetViews>
  <sheetFormatPr defaultRowHeight="13.8"/>
  <cols>
    <col min="1" max="1" width="19.296875" customWidth="1"/>
    <col min="2" max="2" width="20.3984375" customWidth="1"/>
    <col min="3" max="3" width="16" customWidth="1"/>
    <col min="4" max="4" width="13.8984375" customWidth="1"/>
    <col min="5" max="5" width="14.59765625" customWidth="1"/>
    <col min="6" max="6" width="17.8984375" customWidth="1"/>
    <col min="7" max="7" width="15.3984375" customWidth="1"/>
    <col min="8" max="8" width="14.59765625" customWidth="1"/>
    <col min="9" max="9" width="17.09765625" customWidth="1"/>
  </cols>
  <sheetData>
    <row r="1" spans="1:9">
      <c r="A1" s="12" t="s">
        <v>147</v>
      </c>
      <c r="B1" s="12"/>
      <c r="C1" s="12"/>
      <c r="D1" s="12"/>
      <c r="E1" s="12"/>
    </row>
    <row r="2" spans="1:9" ht="14.4" thickBot="1"/>
    <row r="3" spans="1:9" ht="14.4">
      <c r="A3" s="9" t="s">
        <v>124</v>
      </c>
      <c r="B3" s="9"/>
    </row>
    <row r="4" spans="1:9">
      <c r="A4" s="6" t="s">
        <v>125</v>
      </c>
      <c r="B4" s="6">
        <v>0.40895561021322352</v>
      </c>
    </row>
    <row r="5" spans="1:9">
      <c r="A5" s="6" t="s">
        <v>126</v>
      </c>
      <c r="B5" s="6">
        <v>0.16724469112487</v>
      </c>
    </row>
    <row r="6" spans="1:9">
      <c r="A6" s="6" t="s">
        <v>127</v>
      </c>
      <c r="B6" s="6">
        <v>0.16462596373847024</v>
      </c>
    </row>
    <row r="7" spans="1:9">
      <c r="A7" s="6" t="s">
        <v>128</v>
      </c>
      <c r="B7" s="6">
        <v>94846.03383215853</v>
      </c>
    </row>
    <row r="8" spans="1:9" ht="14.4" thickBot="1">
      <c r="A8" s="7" t="s">
        <v>129</v>
      </c>
      <c r="B8" s="7">
        <v>320</v>
      </c>
    </row>
    <row r="10" spans="1:9" ht="14.4" thickBot="1">
      <c r="A10" t="s">
        <v>130</v>
      </c>
    </row>
    <row r="11" spans="1:9" ht="14.4">
      <c r="A11" s="8"/>
      <c r="B11" s="8" t="s">
        <v>135</v>
      </c>
      <c r="C11" s="8" t="s">
        <v>136</v>
      </c>
      <c r="D11" s="8" t="s">
        <v>137</v>
      </c>
      <c r="E11" s="8" t="s">
        <v>138</v>
      </c>
      <c r="F11" s="8" t="s">
        <v>139</v>
      </c>
    </row>
    <row r="12" spans="1:9">
      <c r="A12" s="6" t="s">
        <v>131</v>
      </c>
      <c r="B12" s="6">
        <v>1</v>
      </c>
      <c r="C12" s="6">
        <v>574513714277.01416</v>
      </c>
      <c r="D12" s="6">
        <v>574513714277.01416</v>
      </c>
      <c r="E12" s="6">
        <v>63.864872683367629</v>
      </c>
      <c r="F12" s="6">
        <v>2.4800615101359619E-14</v>
      </c>
    </row>
    <row r="13" spans="1:9">
      <c r="A13" s="6" t="s">
        <v>132</v>
      </c>
      <c r="B13" s="6">
        <v>318</v>
      </c>
      <c r="C13" s="6">
        <v>2860654902513.7251</v>
      </c>
      <c r="D13" s="6">
        <v>8995770133.6909599</v>
      </c>
      <c r="E13" s="6"/>
      <c r="F13" s="6"/>
    </row>
    <row r="14" spans="1:9" ht="14.4" thickBot="1">
      <c r="A14" s="7" t="s">
        <v>133</v>
      </c>
      <c r="B14" s="7">
        <v>319</v>
      </c>
      <c r="C14" s="7">
        <v>3435168616790.7393</v>
      </c>
      <c r="D14" s="7"/>
      <c r="E14" s="7"/>
      <c r="F14" s="7"/>
    </row>
    <row r="15" spans="1:9" ht="14.4" thickBot="1"/>
    <row r="16" spans="1:9" ht="14.4">
      <c r="A16" s="8"/>
      <c r="B16" s="8" t="s">
        <v>140</v>
      </c>
      <c r="C16" s="8" t="s">
        <v>128</v>
      </c>
      <c r="D16" s="8" t="s">
        <v>141</v>
      </c>
      <c r="E16" s="8" t="s">
        <v>142</v>
      </c>
      <c r="F16" s="8" t="s">
        <v>143</v>
      </c>
      <c r="G16" s="8" t="s">
        <v>144</v>
      </c>
      <c r="H16" s="8" t="s">
        <v>145</v>
      </c>
      <c r="I16" s="8" t="s">
        <v>146</v>
      </c>
    </row>
    <row r="17" spans="1:9">
      <c r="A17" s="6" t="s">
        <v>134</v>
      </c>
      <c r="B17" s="6">
        <v>560777.34544943704</v>
      </c>
      <c r="C17" s="6">
        <v>15906.905953068674</v>
      </c>
      <c r="D17" s="6">
        <v>35.253703460870398</v>
      </c>
      <c r="E17" s="6">
        <v>6.952876876284135E-112</v>
      </c>
      <c r="F17" s="6">
        <v>529481.27234763221</v>
      </c>
      <c r="G17" s="6">
        <v>592073.41855124186</v>
      </c>
      <c r="H17" s="6">
        <v>529481.27234763221</v>
      </c>
      <c r="I17" s="6">
        <v>592073.41855124186</v>
      </c>
    </row>
    <row r="18" spans="1:9" ht="14.4" thickBot="1">
      <c r="A18" t="s">
        <v>148</v>
      </c>
      <c r="B18" s="7">
        <v>2.1295753275898281</v>
      </c>
      <c r="C18" s="7">
        <v>0.26647838106932348</v>
      </c>
      <c r="D18" s="7">
        <v>7.991550080138869</v>
      </c>
      <c r="E18" s="7">
        <v>2.4800615101360068E-14</v>
      </c>
      <c r="F18" s="7">
        <v>1.6052919176921738</v>
      </c>
      <c r="G18" s="7">
        <v>2.6538587374874822</v>
      </c>
      <c r="H18" s="7">
        <v>1.6052919176921738</v>
      </c>
      <c r="I18" s="7">
        <v>2.6538587374874822</v>
      </c>
    </row>
    <row r="21" spans="1:9" ht="41.4">
      <c r="A21" s="13" t="s">
        <v>150</v>
      </c>
      <c r="B21" s="11" t="s">
        <v>151</v>
      </c>
    </row>
    <row r="22" spans="1:9">
      <c r="A22" s="13" t="s">
        <v>152</v>
      </c>
      <c r="B22" s="14">
        <v>0.16724469112487</v>
      </c>
    </row>
    <row r="23" spans="1:9">
      <c r="A23" s="13" t="s">
        <v>153</v>
      </c>
      <c r="B23" s="10">
        <v>2.1295000000000002</v>
      </c>
    </row>
    <row r="24" spans="1:9">
      <c r="A24" s="13" t="s">
        <v>154</v>
      </c>
      <c r="B24" s="14">
        <v>2.4800615101360068E-14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83F3-3F17-4D09-B19E-51E66E6AD810}">
  <dimension ref="A1:I24"/>
  <sheetViews>
    <sheetView tabSelected="1" topLeftCell="A7" workbookViewId="0">
      <selection activeCell="B18" sqref="B18"/>
    </sheetView>
  </sheetViews>
  <sheetFormatPr defaultRowHeight="13.8"/>
  <cols>
    <col min="1" max="1" width="23" customWidth="1"/>
    <col min="2" max="2" width="21.296875" customWidth="1"/>
    <col min="3" max="3" width="17.59765625" customWidth="1"/>
    <col min="4" max="4" width="12" customWidth="1"/>
    <col min="5" max="5" width="17.8984375" customWidth="1"/>
    <col min="6" max="6" width="11.296875" customWidth="1"/>
    <col min="7" max="7" width="15.09765625" customWidth="1"/>
    <col min="8" max="8" width="14.296875" customWidth="1"/>
    <col min="9" max="9" width="16.296875" customWidth="1"/>
  </cols>
  <sheetData>
    <row r="1" spans="1:9">
      <c r="A1" s="12" t="s">
        <v>149</v>
      </c>
      <c r="B1" s="12"/>
      <c r="C1" s="12"/>
      <c r="D1" s="12"/>
      <c r="E1" s="12"/>
      <c r="F1" s="12"/>
      <c r="G1" s="12"/>
      <c r="H1" s="12"/>
      <c r="I1" s="12"/>
    </row>
    <row r="2" spans="1:9" ht="14.4" thickBot="1"/>
    <row r="3" spans="1:9" ht="14.4">
      <c r="A3" s="9" t="s">
        <v>124</v>
      </c>
      <c r="B3" s="9"/>
    </row>
    <row r="4" spans="1:9">
      <c r="A4" s="6" t="s">
        <v>125</v>
      </c>
      <c r="B4" s="6">
        <v>0.85807070804410468</v>
      </c>
    </row>
    <row r="5" spans="1:9">
      <c r="A5" s="6" t="s">
        <v>126</v>
      </c>
      <c r="B5" s="6">
        <v>0.73628534000331114</v>
      </c>
    </row>
    <row r="6" spans="1:9">
      <c r="A6" s="6" t="s">
        <v>127</v>
      </c>
      <c r="B6" s="6">
        <v>0.73545604861967373</v>
      </c>
    </row>
    <row r="7" spans="1:9">
      <c r="A7" s="6" t="s">
        <v>128</v>
      </c>
      <c r="B7" s="6">
        <v>53373.736380790499</v>
      </c>
    </row>
    <row r="8" spans="1:9" ht="14.4" thickBot="1">
      <c r="A8" s="7" t="s">
        <v>129</v>
      </c>
      <c r="B8" s="7">
        <v>320</v>
      </c>
    </row>
    <row r="10" spans="1:9" ht="14.4" thickBot="1">
      <c r="A10" t="s">
        <v>130</v>
      </c>
    </row>
    <row r="11" spans="1:9" ht="14.4">
      <c r="A11" s="8"/>
      <c r="B11" s="8" t="s">
        <v>135</v>
      </c>
      <c r="C11" s="8" t="s">
        <v>136</v>
      </c>
      <c r="D11" s="8" t="s">
        <v>137</v>
      </c>
      <c r="E11" s="8" t="s">
        <v>138</v>
      </c>
      <c r="F11" s="8" t="s">
        <v>139</v>
      </c>
    </row>
    <row r="12" spans="1:9">
      <c r="A12" s="6" t="s">
        <v>131</v>
      </c>
      <c r="B12" s="6">
        <v>1</v>
      </c>
      <c r="C12" s="6">
        <v>2529264292982.4736</v>
      </c>
      <c r="D12" s="6">
        <v>2529264292982.4736</v>
      </c>
      <c r="E12" s="6">
        <v>887.84877611276033</v>
      </c>
      <c r="F12" s="6">
        <v>4.7503615090053331E-94</v>
      </c>
    </row>
    <row r="13" spans="1:9">
      <c r="A13" s="6" t="s">
        <v>132</v>
      </c>
      <c r="B13" s="6">
        <v>318</v>
      </c>
      <c r="C13" s="6">
        <v>905904323808.26587</v>
      </c>
      <c r="D13" s="6">
        <v>2848755735.246119</v>
      </c>
      <c r="E13" s="6"/>
      <c r="F13" s="6"/>
    </row>
    <row r="14" spans="1:9" ht="14.4" thickBot="1">
      <c r="A14" s="7" t="s">
        <v>133</v>
      </c>
      <c r="B14" s="7">
        <v>319</v>
      </c>
      <c r="C14" s="7">
        <v>3435168616790.7393</v>
      </c>
      <c r="D14" s="7"/>
      <c r="E14" s="7"/>
      <c r="F14" s="7"/>
    </row>
    <row r="15" spans="1:9" ht="14.4" thickBot="1"/>
    <row r="16" spans="1:9" ht="14.4">
      <c r="A16" s="8"/>
      <c r="B16" s="8" t="s">
        <v>140</v>
      </c>
      <c r="C16" s="8" t="s">
        <v>128</v>
      </c>
      <c r="D16" s="8" t="s">
        <v>141</v>
      </c>
      <c r="E16" s="8" t="s">
        <v>142</v>
      </c>
      <c r="F16" s="8" t="s">
        <v>143</v>
      </c>
      <c r="G16" s="8" t="s">
        <v>144</v>
      </c>
      <c r="H16" s="8" t="s">
        <v>145</v>
      </c>
      <c r="I16" s="8" t="s">
        <v>146</v>
      </c>
    </row>
    <row r="17" spans="1:9">
      <c r="A17" s="6" t="s">
        <v>134</v>
      </c>
      <c r="B17" s="6">
        <v>446410.58293395344</v>
      </c>
      <c r="C17" s="6">
        <v>8407.7382630059928</v>
      </c>
      <c r="D17" s="6">
        <v>53.095204556754318</v>
      </c>
      <c r="E17" s="6">
        <v>4.0862695711507226E-160</v>
      </c>
      <c r="F17" s="6">
        <v>429868.76191129786</v>
      </c>
      <c r="G17" s="6">
        <v>462952.40395660902</v>
      </c>
      <c r="H17" s="6">
        <v>429868.76191129786</v>
      </c>
      <c r="I17" s="6">
        <v>462952.40395660902</v>
      </c>
    </row>
    <row r="18" spans="1:9" ht="14.4" thickBot="1">
      <c r="A18" t="s">
        <v>5</v>
      </c>
      <c r="B18" s="7">
        <v>35.678031072640458</v>
      </c>
      <c r="C18" s="7">
        <v>1.1973782890340821</v>
      </c>
      <c r="D18" s="7">
        <v>29.796791372776362</v>
      </c>
      <c r="E18" s="7">
        <v>4.7503615090054677E-94</v>
      </c>
      <c r="F18" s="7">
        <v>33.322246825554025</v>
      </c>
      <c r="G18" s="7">
        <v>38.033815319726891</v>
      </c>
      <c r="H18" s="7">
        <v>33.322246825554025</v>
      </c>
      <c r="I18" s="7">
        <v>38.033815319726891</v>
      </c>
    </row>
    <row r="21" spans="1:9" ht="41.4">
      <c r="A21" s="13" t="s">
        <v>150</v>
      </c>
      <c r="B21" s="11" t="s">
        <v>155</v>
      </c>
    </row>
    <row r="22" spans="1:9">
      <c r="A22" s="13" t="s">
        <v>152</v>
      </c>
      <c r="B22" s="14">
        <v>0.73628534000331103</v>
      </c>
    </row>
    <row r="23" spans="1:9">
      <c r="A23" s="13" t="s">
        <v>153</v>
      </c>
      <c r="B23" s="10">
        <v>35.677999999999997</v>
      </c>
    </row>
    <row r="24" spans="1:9">
      <c r="A24" s="13" t="s">
        <v>154</v>
      </c>
      <c r="B24" s="6">
        <v>4.0862695711507226E-160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9FBD-3F4C-45D5-BFEC-9FCC86917018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2474-2665-494C-8F69-836CA08A7619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F788-D3DB-4A61-8EBE-71E8016D4823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H13" sqref="H13"/>
    </sheetView>
  </sheetViews>
  <sheetFormatPr defaultRowHeight="13.8"/>
  <cols>
    <col min="1" max="2" width="28" customWidth="1"/>
  </cols>
  <sheetData>
    <row r="1" spans="1:2" ht="22.35" customHeight="1">
      <c r="A1" s="1" t="s">
        <v>102</v>
      </c>
      <c r="B1" s="1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 ht="27.6">
      <c r="A5" s="3" t="s">
        <v>3</v>
      </c>
      <c r="B5" s="3" t="s">
        <v>107</v>
      </c>
    </row>
    <row r="6" spans="1:2" ht="27.6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 ht="27.6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 ht="27.6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 ht="41.4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 ht="27.6">
      <c r="A14" s="3" t="s">
        <v>12</v>
      </c>
      <c r="B14" s="3" t="s">
        <v>116</v>
      </c>
    </row>
    <row r="15" spans="1:2" ht="27.6">
      <c r="A15" s="3" t="s">
        <v>13</v>
      </c>
      <c r="B15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 Dataset</vt:lpstr>
      <vt:lpstr>Cleaned Data</vt:lpstr>
      <vt:lpstr>Dummy Variables</vt:lpstr>
      <vt:lpstr>Simple Regression</vt:lpstr>
      <vt:lpstr>Simple Regresssion_Footfall</vt:lpstr>
      <vt:lpstr>Multiple Regression</vt:lpstr>
      <vt:lpstr>Predictions Residuals</vt:lpstr>
      <vt:lpstr>Model Comparison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Alibha Das</cp:lastModifiedBy>
  <dcterms:modified xsi:type="dcterms:W3CDTF">2026-06-21T13:59:54Z</dcterms:modified>
</cp:coreProperties>
</file>